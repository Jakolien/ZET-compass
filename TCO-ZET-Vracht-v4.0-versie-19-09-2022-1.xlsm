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4.xml" ContentType="application/vnd.openxmlformats-officedocument.drawing+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4" codeName="{3D1A710C-6663-3D7B-7F91-EC182F24A4BC}"/>
  <workbookPr updateLinks="always" codeName="ThisWorkbook"/>
  <mc:AlternateContent xmlns:mc="http://schemas.openxmlformats.org/markup-compatibility/2006">
    <mc:Choice Requires="x15">
      <x15ac:absPath xmlns:x15ac="http://schemas.microsoft.com/office/spreadsheetml/2010/11/ac" url="C:\Users\meer0084\Documents\transport_kompas\"/>
    </mc:Choice>
  </mc:AlternateContent>
  <xr:revisionPtr revIDLastSave="0" documentId="8_{52F0D7F8-B8B5-4409-B99B-2F4BFE6EAABF}" xr6:coauthVersionLast="36" xr6:coauthVersionMax="36" xr10:uidLastSave="{00000000-0000-0000-0000-000000000000}"/>
  <bookViews>
    <workbookView xWindow="0" yWindow="0" windowWidth="24720" windowHeight="12285" tabRatio="855" firstSheet="1" activeTab="2" xr2:uid="{00000000-000D-0000-FFFF-FFFF00000000}"/>
  </bookViews>
  <sheets>
    <sheet name="Read Me" sheetId="1" r:id="rId1"/>
    <sheet name="Input-Output Module" sheetId="2" r:id="rId2"/>
    <sheet name="Vergelijking Data" sheetId="12" r:id="rId3"/>
    <sheet name="Breakeven-analyse" sheetId="16" r:id="rId4"/>
    <sheet name="Breakeven-analyse - bar" sheetId="15" r:id="rId5"/>
    <sheet name="Invoervelden" sheetId="3" r:id="rId6"/>
    <sheet name="Catalogus" sheetId="7" r:id="rId7"/>
    <sheet name="Calculatie" sheetId="4" r:id="rId8"/>
    <sheet name="M1-PowerSupply" sheetId="6" r:id="rId9"/>
    <sheet name="M2-Subsidie" sheetId="9" r:id="rId10"/>
    <sheet name="Parameters" sheetId="5" r:id="rId11"/>
    <sheet name="Indexatie" sheetId="10" r:id="rId12"/>
    <sheet name="Database" sheetId="11" r:id="rId13"/>
    <sheet name="Dynamic" sheetId="13" r:id="rId14"/>
    <sheet name="Breakeven analyse" sheetId="14" r:id="rId15"/>
    <sheet name="kostenmodel laadplein2022" sheetId="17" r:id="rId16"/>
    <sheet name="Config" sheetId="8" r:id="rId17"/>
  </sheets>
  <externalReferences>
    <externalReference r:id="rId18"/>
    <externalReference r:id="rId19"/>
  </externalReferences>
  <definedNames>
    <definedName name="_xlnm._FilterDatabase" localSheetId="16" hidden="1">Config!$A$1:$T$460</definedName>
    <definedName name="_xlnm._FilterDatabase" localSheetId="12" hidden="1">Database!$A$1:$CZ$1</definedName>
    <definedName name="batt_cap_input">'Input-Output Module'!$F$22</definedName>
    <definedName name="bedrijftype_input" localSheetId="12">'Input-Output Module'!$B$20</definedName>
    <definedName name="bedrijftype_input" localSheetId="2">'Input-Output Module'!$B$20</definedName>
    <definedName name="bedrijftype_input">'Input-Output Module'!$B$21</definedName>
    <definedName name="charge_power_input">'Input-Output Module'!$F$21</definedName>
    <definedName name="co2_price" localSheetId="12">'Input-Output Module'!$G$38</definedName>
    <definedName name="co2_price" localSheetId="2">'Input-Output Module'!$G$38</definedName>
    <definedName name="co2_price">'Input-Output Module'!$G$39</definedName>
    <definedName name="DatasetName">'Input-Output Module'!$G$10</definedName>
    <definedName name="DataSets">'Vergelijking Data'!$I$2:$I$13</definedName>
    <definedName name="DV_age" localSheetId="12">'Input-Output Module'!$E$13</definedName>
    <definedName name="DV_age" localSheetId="2">'Input-Output Module'!$E$13</definedName>
    <definedName name="DV_age">'Input-Output Module'!$E$14</definedName>
    <definedName name="DV_mileage" localSheetId="12">'Input-Output Module'!$B$15</definedName>
    <definedName name="DV_mileage" localSheetId="2">'Input-Output Module'!$B$15</definedName>
    <definedName name="DV_mileage">'Input-Output Module'!$B$16</definedName>
    <definedName name="DV_productivehours">'Input-Output Module'!$E$16</definedName>
    <definedName name="DV_reparaties" localSheetId="12">'Input-Output Module'!$E$16</definedName>
    <definedName name="DV_reparaties" localSheetId="2">'Input-Output Module'!$E$16</definedName>
    <definedName name="DV_reparaties">'Input-Output Module'!$E$17</definedName>
    <definedName name="DV_rest_input">'Input-Output Module'!$E$15</definedName>
    <definedName name="elec_price_final" localSheetId="12">'Input-Output Module'!$C$45</definedName>
    <definedName name="elec_price_final" localSheetId="2">'Input-Output Module'!$C$45</definedName>
    <definedName name="elec_price_final">'Input-Output Module'!$C$46</definedName>
    <definedName name="elec_price_input" localSheetId="12">'Input-Output Module'!$C$43</definedName>
    <definedName name="elec_price_input" localSheetId="2">'Input-Output Module'!$C$43</definedName>
    <definedName name="elec_price_input">'Input-Output Module'!$C$44</definedName>
    <definedName name="Electricity_type" localSheetId="12">'Input-Output Module'!$B$16</definedName>
    <definedName name="Electricity_type" localSheetId="2">'Input-Output Module'!$B$16</definedName>
    <definedName name="Electricity_type">'Input-Output Module'!$B$17</definedName>
    <definedName name="EV_age" localSheetId="12">'Input-Output Module'!$F$13</definedName>
    <definedName name="EV_age" localSheetId="2">'Input-Output Module'!$F$13</definedName>
    <definedName name="EV_age">'Input-Output Module'!$F$14</definedName>
    <definedName name="EV_productive_hours">'Input-Output Module'!$F$16</definedName>
    <definedName name="EV_reparaties" localSheetId="12">'Input-Output Module'!$F$16</definedName>
    <definedName name="EV_reparaties" localSheetId="2">'Input-Output Module'!$F$16</definedName>
    <definedName name="EV_reparaties">'Input-Output Module'!$F$17</definedName>
    <definedName name="EV_rest_input">'Input-Output Module'!$F$15</definedName>
    <definedName name="FC_age" localSheetId="12">'Input-Output Module'!$G$13</definedName>
    <definedName name="FC_age" localSheetId="2">'Input-Output Module'!$G$13</definedName>
    <definedName name="FC_age">'Input-Output Module'!$G$14</definedName>
    <definedName name="FC_productivehours">'Input-Output Module'!$G$16</definedName>
    <definedName name="FC_reparaties" localSheetId="12">'Input-Output Module'!$G$16</definedName>
    <definedName name="FC_reparaties" localSheetId="2">'Input-Output Module'!$G$16</definedName>
    <definedName name="FC_reparaties">'Input-Output Module'!$G$17</definedName>
    <definedName name="FC_rest_input">'Input-Output Module'!$G$15</definedName>
    <definedName name="fuel_price_final" localSheetId="12">#REF!</definedName>
    <definedName name="fuel_price_final" localSheetId="2">#REF!</definedName>
    <definedName name="fuel_price_final">#REF!</definedName>
    <definedName name="fuel_price_input" localSheetId="12">'Input-Output Module'!$G$27</definedName>
    <definedName name="fuel_price_input" localSheetId="2">'Input-Output Module'!$G$27</definedName>
    <definedName name="fuel_price_input">'Input-Output Module'!$G$28</definedName>
    <definedName name="h2_price_final" localSheetId="12">'Input-Output Module'!$D$45</definedName>
    <definedName name="h2_price_final" localSheetId="2">'Input-Output Module'!$D$45</definedName>
    <definedName name="h2_price_final">'Input-Output Module'!$D$46</definedName>
    <definedName name="h2_price_input" localSheetId="12">'Input-Output Module'!$D$43</definedName>
    <definedName name="h2_price_input" localSheetId="2">'Input-Output Module'!$D$43</definedName>
    <definedName name="h2_price_input">'Input-Output Module'!$D$44</definedName>
    <definedName name="H2_type" localSheetId="12">'Input-Output Module'!$B$17</definedName>
    <definedName name="H2_type" localSheetId="2">'Input-Output Module'!$B$17</definedName>
    <definedName name="H2_type">'Input-Output Module'!$B$18</definedName>
    <definedName name="koelmachine" localSheetId="12">'Input-Output Module'!$B$14</definedName>
    <definedName name="koelmachine" localSheetId="2">'Input-Output Module'!$B$14</definedName>
    <definedName name="koelmachine">'Input-Output Module'!$B$15</definedName>
    <definedName name="MyList">OFFSET(#REF!, 0, 0, COUNTA(#REF!),1)</definedName>
    <definedName name="_xlnm.Print_Area" localSheetId="1">'Input-Output Module'!$A$1:$H$68</definedName>
    <definedName name="t">[1]Calculatie!$B$75</definedName>
    <definedName name="timeframe">[2]variabelen!$C$24</definedName>
    <definedName name="voertuigheffing_input" localSheetId="12">'Input-Output Module'!$G$36</definedName>
    <definedName name="voertuigheffing_input" localSheetId="2">'Input-Output Module'!$G$36</definedName>
    <definedName name="voertuigheffing_input">'Input-Output Module'!$G$37</definedName>
    <definedName name="voertuigtype_input" localSheetId="12">'Input-Output Module'!$B$13</definedName>
    <definedName name="voertuigtype_input" localSheetId="2">'Input-Output Module'!$B$13</definedName>
    <definedName name="voertuigtype_input">'Input-Output Module'!$B$14</definedName>
    <definedName name="yearchange">Calculatie!$B$75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5" i="2" l="1"/>
  <c r="D44" i="2"/>
  <c r="B45" i="6" l="1"/>
  <c r="B46" i="6"/>
  <c r="C16" i="6"/>
  <c r="F68" i="13"/>
  <c r="C21" i="2" l="1"/>
  <c r="C19" i="2"/>
  <c r="C18" i="2"/>
  <c r="C17" i="2"/>
  <c r="C15" i="2"/>
  <c r="C14" i="2" l="1"/>
  <c r="B1" i="8"/>
  <c r="A3" i="8" l="1"/>
  <c r="B2" i="8" l="1"/>
  <c r="B3" i="8"/>
  <c r="A4" i="8"/>
  <c r="B4" i="8" l="1"/>
  <c r="A5" i="8"/>
  <c r="A6" i="8" l="1"/>
  <c r="B5" i="8"/>
  <c r="A7" i="8" l="1"/>
  <c r="B6" i="8"/>
  <c r="E3" i="3" s="1"/>
  <c r="B7" i="8" l="1"/>
  <c r="A8" i="8"/>
  <c r="B8" i="8" l="1"/>
  <c r="A9" i="8"/>
  <c r="A10" i="8" l="1"/>
  <c r="B9" i="8"/>
  <c r="B10" i="8" l="1"/>
  <c r="A11" i="8"/>
  <c r="B11" i="8" l="1"/>
  <c r="A12" i="8"/>
  <c r="B12" i="8" l="1"/>
  <c r="A13" i="8"/>
  <c r="A14" i="8" l="1"/>
  <c r="B13" i="8"/>
  <c r="E13" i="2" s="1"/>
  <c r="B14" i="8" l="1"/>
  <c r="A15" i="8"/>
  <c r="F13" i="2" l="1"/>
  <c r="C27" i="2"/>
  <c r="B15" i="8"/>
  <c r="A16" i="8"/>
  <c r="G13" i="2" l="1"/>
  <c r="D27" i="2"/>
  <c r="E50" i="2"/>
  <c r="B16" i="8"/>
  <c r="A17" i="8"/>
  <c r="B28" i="2" l="1"/>
  <c r="A53" i="2"/>
  <c r="A18" i="8"/>
  <c r="B17" i="8"/>
  <c r="B18" i="8" l="1"/>
  <c r="A19" i="8"/>
  <c r="B19" i="8" l="1"/>
  <c r="A20" i="8"/>
  <c r="B20" i="8" l="1"/>
  <c r="A21" i="8"/>
  <c r="A22" i="8" l="1"/>
  <c r="B21" i="8"/>
  <c r="B22" i="8" l="1"/>
  <c r="A23" i="8"/>
  <c r="B23" i="8" l="1"/>
  <c r="A24" i="8"/>
  <c r="B24" i="8" l="1"/>
  <c r="A25" i="8"/>
  <c r="D14" i="2" l="1"/>
  <c r="A21" i="3"/>
  <c r="A26" i="8"/>
  <c r="B25" i="8"/>
  <c r="D15" i="2" s="1"/>
  <c r="B26" i="8" l="1"/>
  <c r="A27" i="8"/>
  <c r="D16" i="2" l="1"/>
  <c r="A22" i="3"/>
  <c r="B27" i="8"/>
  <c r="D17" i="2" s="1"/>
  <c r="A28" i="8"/>
  <c r="B28" i="8" l="1"/>
  <c r="A29" i="8"/>
  <c r="B29" i="8" s="1"/>
  <c r="D18" i="2" l="1"/>
  <c r="A23" i="3"/>
  <c r="A30" i="8"/>
  <c r="D21" i="2"/>
  <c r="B30" i="8" l="1"/>
  <c r="D22" i="2" s="1"/>
  <c r="A31" i="8"/>
  <c r="B31" i="8" l="1"/>
  <c r="D23" i="2" s="1"/>
  <c r="A32" i="8"/>
  <c r="B32" i="8" l="1"/>
  <c r="A28" i="2" s="1"/>
  <c r="A33" i="8"/>
  <c r="A34" i="8" l="1"/>
  <c r="B33" i="8"/>
  <c r="B29" i="2" s="1"/>
  <c r="B34" i="8" l="1"/>
  <c r="B30" i="2" s="1"/>
  <c r="A35" i="8"/>
  <c r="B35" i="8" l="1"/>
  <c r="A36" i="8"/>
  <c r="B31" i="2" l="1"/>
  <c r="B37" i="2"/>
  <c r="B36" i="8"/>
  <c r="B32" i="2" s="1"/>
  <c r="A37" i="8"/>
  <c r="A38" i="8" l="1"/>
  <c r="A39" i="8" s="1"/>
  <c r="B37" i="8"/>
  <c r="B35" i="2" s="1"/>
  <c r="B38" i="8" l="1"/>
  <c r="B36" i="2" s="1"/>
  <c r="B39" i="8" l="1"/>
  <c r="B38" i="2" s="1"/>
  <c r="A40" i="8"/>
  <c r="A41" i="8" l="1"/>
  <c r="B40" i="8"/>
  <c r="A43" i="2" s="1"/>
  <c r="B41" i="8" l="1"/>
  <c r="B44" i="2" s="1"/>
  <c r="A42" i="8"/>
  <c r="B42" i="8" l="1"/>
  <c r="B45" i="2" s="1"/>
  <c r="A43" i="8"/>
  <c r="B43" i="8" l="1"/>
  <c r="F28" i="2" s="1"/>
  <c r="A44" i="8"/>
  <c r="A45" i="8" l="1"/>
  <c r="B44" i="8"/>
  <c r="X1" i="11" s="1"/>
  <c r="F29" i="2" l="1"/>
  <c r="C5" i="10"/>
  <c r="B45" i="8"/>
  <c r="F30" i="2" s="1"/>
  <c r="A46" i="8"/>
  <c r="B46" i="8" l="1"/>
  <c r="A47" i="8"/>
  <c r="F34" i="2" l="1"/>
  <c r="Y1" i="11"/>
  <c r="B47" i="8"/>
  <c r="A48" i="8"/>
  <c r="F35" i="2" l="1"/>
  <c r="Z1" i="11"/>
  <c r="A49" i="8"/>
  <c r="B48" i="8"/>
  <c r="F37" i="2" l="1"/>
  <c r="AA1" i="11"/>
  <c r="B49" i="8"/>
  <c r="A50" i="8"/>
  <c r="F39" i="2" l="1"/>
  <c r="AB1" i="11"/>
  <c r="B50" i="8"/>
  <c r="F43" i="2" s="1"/>
  <c r="A51" i="8"/>
  <c r="B51" i="8" l="1"/>
  <c r="F44" i="2" s="1"/>
  <c r="A52" i="8"/>
  <c r="A53" i="8" l="1"/>
  <c r="B52" i="8"/>
  <c r="F45" i="2" s="1"/>
  <c r="B53" i="8" l="1"/>
  <c r="F46" i="2" s="1"/>
  <c r="A54" i="8"/>
  <c r="B54" i="8" l="1"/>
  <c r="F47" i="2" s="1"/>
  <c r="A55" i="8"/>
  <c r="B55" i="8" l="1"/>
  <c r="A56" i="8"/>
  <c r="E31" i="2" l="1"/>
  <c r="E30" i="2"/>
  <c r="A57" i="8"/>
  <c r="B56" i="8"/>
  <c r="C43" i="2" s="1"/>
  <c r="B57" i="8" l="1"/>
  <c r="D43" i="2" s="1"/>
  <c r="A58" i="8"/>
  <c r="B58" i="8" l="1"/>
  <c r="E43" i="2" s="1"/>
  <c r="A59" i="8"/>
  <c r="B59" i="8" l="1"/>
  <c r="G33" i="2" s="1"/>
  <c r="A60" i="8"/>
  <c r="A61" i="8" l="1"/>
  <c r="B60" i="8"/>
  <c r="H33" i="2" s="1"/>
  <c r="B61" i="8" l="1"/>
  <c r="I37" i="2" s="1"/>
  <c r="A62" i="8"/>
  <c r="B62" i="8" l="1"/>
  <c r="A63" i="8"/>
  <c r="G41" i="2" l="1"/>
  <c r="A93" i="2"/>
  <c r="B63" i="8"/>
  <c r="A49" i="2" s="1"/>
  <c r="A64" i="8"/>
  <c r="A65" i="8" l="1"/>
  <c r="B64" i="8"/>
  <c r="A50" i="2" s="1"/>
  <c r="B65" i="8" l="1"/>
  <c r="A51" i="2" s="1"/>
  <c r="A66" i="8"/>
  <c r="B66" i="8" l="1"/>
  <c r="A54" i="2" s="1"/>
  <c r="A67" i="8"/>
  <c r="B67" i="8" l="1"/>
  <c r="A55" i="2" s="1"/>
  <c r="A68" i="8"/>
  <c r="A69" i="8" l="1"/>
  <c r="B68" i="8"/>
  <c r="A57" i="2" s="1"/>
  <c r="B69" i="8" l="1"/>
  <c r="A58" i="2" s="1"/>
  <c r="A70" i="8"/>
  <c r="B70" i="8" l="1"/>
  <c r="A60" i="2" s="1"/>
  <c r="A71" i="8"/>
  <c r="B71" i="8" l="1"/>
  <c r="A61" i="2" s="1"/>
  <c r="A72" i="8"/>
  <c r="A73" i="8" l="1"/>
  <c r="B72" i="8"/>
  <c r="A62" i="2" s="1"/>
  <c r="B73" i="8" l="1"/>
  <c r="A64" i="2" s="1"/>
  <c r="A74" i="8"/>
  <c r="B74" i="8" l="1"/>
  <c r="A65" i="2" s="1"/>
  <c r="A75" i="8"/>
  <c r="B75" i="8" l="1"/>
  <c r="A66" i="2" s="1"/>
  <c r="A76" i="8"/>
  <c r="A77" i="8" l="1"/>
  <c r="B76" i="8"/>
  <c r="A67" i="2" s="1"/>
  <c r="B77" i="8" l="1"/>
  <c r="A70" i="2" s="1"/>
  <c r="A78" i="8"/>
  <c r="B78" i="8" l="1"/>
  <c r="A71" i="2" s="1"/>
  <c r="A79" i="8"/>
  <c r="B79" i="8" l="1"/>
  <c r="A72" i="2" s="1"/>
  <c r="A80" i="8"/>
  <c r="A81" i="8" l="1"/>
  <c r="B80" i="8"/>
  <c r="A73" i="2" s="1"/>
  <c r="B81" i="8" l="1"/>
  <c r="A82" i="8"/>
  <c r="A74" i="2" l="1"/>
  <c r="C10" i="10"/>
  <c r="B82" i="8"/>
  <c r="A83" i="8"/>
  <c r="A75" i="2" l="1"/>
  <c r="C11" i="10"/>
  <c r="B83" i="8"/>
  <c r="A76" i="2" s="1"/>
  <c r="A84" i="8"/>
  <c r="A85" i="8" l="1"/>
  <c r="B84" i="8"/>
  <c r="A77" i="2" s="1"/>
  <c r="B85" i="8" l="1"/>
  <c r="A78" i="2" s="1"/>
  <c r="A86" i="8"/>
  <c r="B86" i="8" l="1"/>
  <c r="A87" i="8"/>
  <c r="B87" i="8" l="1"/>
  <c r="A80" i="2" s="1"/>
  <c r="A88" i="8"/>
  <c r="A89" i="8" l="1"/>
  <c r="B88" i="8"/>
  <c r="A81" i="2" s="1"/>
  <c r="B89" i="8" l="1"/>
  <c r="A82" i="2" s="1"/>
  <c r="A90" i="8"/>
  <c r="B90" i="8" l="1"/>
  <c r="A83" i="2" s="1"/>
  <c r="A91" i="8"/>
  <c r="B91" i="8" l="1"/>
  <c r="A84" i="2" s="1"/>
  <c r="A92" i="8"/>
  <c r="A93" i="8" l="1"/>
  <c r="B92" i="8"/>
  <c r="A85" i="2" s="1"/>
  <c r="B93" i="8" l="1"/>
  <c r="A86" i="2" s="1"/>
  <c r="A94" i="8"/>
  <c r="B94" i="8" l="1"/>
  <c r="A87" i="2" s="1"/>
  <c r="A95" i="8"/>
  <c r="B95" i="8" l="1"/>
  <c r="A88" i="2" s="1"/>
  <c r="A96" i="8"/>
  <c r="A97" i="8" l="1"/>
  <c r="B96" i="8"/>
  <c r="A89" i="2" s="1"/>
  <c r="B97" i="8" l="1"/>
  <c r="A90" i="2" s="1"/>
  <c r="A98" i="8"/>
  <c r="B98" i="8" l="1"/>
  <c r="A91" i="2" s="1"/>
  <c r="A99" i="8"/>
  <c r="B99" i="8" l="1"/>
  <c r="A100" i="8"/>
  <c r="A101" i="8" l="1"/>
  <c r="B100" i="8"/>
  <c r="A94" i="2" s="1"/>
  <c r="B101" i="8" l="1"/>
  <c r="A95" i="2" s="1"/>
  <c r="A102" i="8"/>
  <c r="B102" i="8" l="1"/>
  <c r="A103" i="8"/>
  <c r="B103" i="8" l="1"/>
  <c r="A97" i="2" s="1"/>
  <c r="A104" i="8"/>
  <c r="A105" i="8" l="1"/>
  <c r="B104" i="8"/>
  <c r="A98" i="2" s="1"/>
  <c r="B105" i="8" l="1"/>
  <c r="A99" i="2" s="1"/>
  <c r="A106" i="8"/>
  <c r="A18" i="2"/>
  <c r="A19" i="2"/>
  <c r="A20" i="2"/>
  <c r="A12" i="2"/>
  <c r="A21" i="2"/>
  <c r="F10" i="2"/>
  <c r="A14" i="2"/>
  <c r="D12" i="2"/>
  <c r="A15" i="2"/>
  <c r="A16" i="2"/>
  <c r="A17" i="2"/>
  <c r="B106" i="8" l="1"/>
  <c r="A100" i="2" s="1"/>
  <c r="A107" i="8"/>
  <c r="C7" i="10"/>
  <c r="C8" i="10"/>
  <c r="C9" i="10"/>
  <c r="C6" i="10"/>
  <c r="A62" i="5"/>
  <c r="A63" i="5"/>
  <c r="A64" i="5"/>
  <c r="A61" i="5"/>
  <c r="F4" i="3"/>
  <c r="F5" i="3"/>
  <c r="F6" i="3"/>
  <c r="F3" i="3"/>
  <c r="B76" i="5"/>
  <c r="B77" i="5"/>
  <c r="B78" i="5"/>
  <c r="B75" i="5"/>
  <c r="F2" i="3" l="1"/>
  <c r="B107" i="8"/>
  <c r="A102" i="2" s="1"/>
  <c r="A108" i="8"/>
  <c r="B36" i="9"/>
  <c r="A109" i="8" l="1"/>
  <c r="B108" i="8"/>
  <c r="A103" i="2" s="1"/>
  <c r="C2" i="4"/>
  <c r="B109" i="8" l="1"/>
  <c r="A104" i="2" s="1"/>
  <c r="A110" i="8"/>
  <c r="B2" i="4"/>
  <c r="H110" i="17"/>
  <c r="G110" i="17"/>
  <c r="F110" i="17"/>
  <c r="E110" i="17"/>
  <c r="D110" i="17"/>
  <c r="C110" i="17"/>
  <c r="H109" i="17"/>
  <c r="G109" i="17"/>
  <c r="F109" i="17"/>
  <c r="E109" i="17"/>
  <c r="D109" i="17"/>
  <c r="C109" i="17"/>
  <c r="H104" i="17"/>
  <c r="H37" i="17" s="1"/>
  <c r="G104" i="17"/>
  <c r="G37" i="17" s="1"/>
  <c r="F104" i="17"/>
  <c r="H103" i="17"/>
  <c r="H36" i="17" s="1"/>
  <c r="G103" i="17"/>
  <c r="F103" i="17"/>
  <c r="F36" i="17" s="1"/>
  <c r="E103" i="17"/>
  <c r="E106" i="17" s="1"/>
  <c r="D103" i="17"/>
  <c r="D36" i="17" s="1"/>
  <c r="C103" i="17"/>
  <c r="C106" i="17" s="1"/>
  <c r="H97" i="17"/>
  <c r="G97" i="17"/>
  <c r="F97" i="17"/>
  <c r="E97" i="17"/>
  <c r="D97" i="17"/>
  <c r="C97" i="17"/>
  <c r="B83" i="17"/>
  <c r="C27" i="17" s="1" a="1"/>
  <c r="H27" i="17" s="1"/>
  <c r="E79" i="17"/>
  <c r="E77" i="17"/>
  <c r="E76" i="17"/>
  <c r="E75" i="17"/>
  <c r="E74" i="17"/>
  <c r="F66" i="17"/>
  <c r="F65" i="17"/>
  <c r="H62" i="17"/>
  <c r="F62" i="17"/>
  <c r="H61" i="17"/>
  <c r="F61" i="17"/>
  <c r="H60" i="17"/>
  <c r="F60" i="17"/>
  <c r="D54" i="17"/>
  <c r="D53" i="17"/>
  <c r="D52" i="17"/>
  <c r="H43" i="17"/>
  <c r="G43" i="17"/>
  <c r="F43" i="17"/>
  <c r="E43" i="17"/>
  <c r="D43" i="17"/>
  <c r="C43" i="17"/>
  <c r="H42" i="17"/>
  <c r="G42" i="17"/>
  <c r="F42" i="17"/>
  <c r="E42" i="17"/>
  <c r="D42" i="17"/>
  <c r="C42" i="17"/>
  <c r="H38" i="17"/>
  <c r="G38" i="17"/>
  <c r="F38" i="17"/>
  <c r="E38" i="17"/>
  <c r="D38" i="17"/>
  <c r="C38" i="17"/>
  <c r="F37" i="17"/>
  <c r="E37" i="17"/>
  <c r="D37" i="17"/>
  <c r="C37" i="17"/>
  <c r="E36" i="17"/>
  <c r="H35" i="17"/>
  <c r="G35" i="17"/>
  <c r="F35" i="17"/>
  <c r="E35" i="17"/>
  <c r="D35" i="17"/>
  <c r="C35" i="17"/>
  <c r="H34" i="17"/>
  <c r="G34" i="17"/>
  <c r="F34" i="17"/>
  <c r="E34" i="17"/>
  <c r="D34" i="17"/>
  <c r="C34" i="17"/>
  <c r="H30" i="17"/>
  <c r="G30" i="17"/>
  <c r="F30" i="17"/>
  <c r="E30" i="17"/>
  <c r="D30" i="17"/>
  <c r="C30" i="17"/>
  <c r="H28" i="17"/>
  <c r="G28" i="17"/>
  <c r="F28" i="17"/>
  <c r="E28" i="17"/>
  <c r="D28" i="17"/>
  <c r="C28" i="17"/>
  <c r="H26" i="17"/>
  <c r="G26" i="17"/>
  <c r="F26" i="17"/>
  <c r="E26" i="17"/>
  <c r="D26" i="17"/>
  <c r="C26" i="17"/>
  <c r="H25" i="17"/>
  <c r="G25" i="17"/>
  <c r="F25" i="17"/>
  <c r="E25" i="17"/>
  <c r="D25" i="17"/>
  <c r="C25" i="17"/>
  <c r="H24" i="17"/>
  <c r="G24" i="17"/>
  <c r="F24" i="17"/>
  <c r="E24" i="17"/>
  <c r="D24" i="17"/>
  <c r="C24" i="17"/>
  <c r="M13" i="17"/>
  <c r="M11" i="17"/>
  <c r="M9" i="17"/>
  <c r="M7" i="17"/>
  <c r="M4" i="17"/>
  <c r="H46" i="7"/>
  <c r="H47" i="7"/>
  <c r="H48" i="7"/>
  <c r="H49" i="7"/>
  <c r="H45" i="7"/>
  <c r="H38" i="7"/>
  <c r="H39" i="7"/>
  <c r="H40" i="7"/>
  <c r="H41" i="7"/>
  <c r="H37" i="7"/>
  <c r="C36" i="17" l="1"/>
  <c r="D44" i="17"/>
  <c r="D47" i="17" s="1"/>
  <c r="H44" i="17"/>
  <c r="H47" i="17" s="1"/>
  <c r="D111" i="17"/>
  <c r="D114" i="17" s="1"/>
  <c r="H111" i="17"/>
  <c r="H114" i="17" s="1"/>
  <c r="E111" i="17"/>
  <c r="E114" i="17" s="1"/>
  <c r="B110" i="8"/>
  <c r="A106" i="2" s="1"/>
  <c r="A111" i="8"/>
  <c r="C44" i="17"/>
  <c r="C47" i="17" s="1"/>
  <c r="G44" i="17"/>
  <c r="G47" i="17" s="1"/>
  <c r="C39" i="17"/>
  <c r="G106" i="17"/>
  <c r="F111" i="17"/>
  <c r="F114" i="17" s="1"/>
  <c r="C94" i="17" a="1"/>
  <c r="G94" i="17" s="1"/>
  <c r="G96" i="17" s="1"/>
  <c r="G98" i="17" s="1"/>
  <c r="E44" i="17"/>
  <c r="E47" i="17" s="1"/>
  <c r="G36" i="17"/>
  <c r="G39" i="17" s="1"/>
  <c r="F106" i="17"/>
  <c r="E39" i="17"/>
  <c r="F39" i="17"/>
  <c r="D39" i="17"/>
  <c r="H39" i="17"/>
  <c r="F44" i="17"/>
  <c r="F47" i="17" s="1"/>
  <c r="C111" i="17"/>
  <c r="C114" i="17" s="1"/>
  <c r="G111" i="17"/>
  <c r="G114" i="17" s="1"/>
  <c r="H29" i="17"/>
  <c r="H31" i="17" s="1"/>
  <c r="N29" i="17"/>
  <c r="E27" i="17"/>
  <c r="E29" i="17" s="1"/>
  <c r="E31" i="17" s="1"/>
  <c r="E46" i="17" s="1"/>
  <c r="F27" i="17"/>
  <c r="L29" i="17" s="1"/>
  <c r="D106" i="17"/>
  <c r="H106" i="17"/>
  <c r="C27" i="17"/>
  <c r="C29" i="17" s="1"/>
  <c r="C31" i="17" s="1"/>
  <c r="G27" i="17"/>
  <c r="M29" i="17" s="1"/>
  <c r="D27" i="17"/>
  <c r="D29" i="17" s="1"/>
  <c r="D31" i="17" s="1"/>
  <c r="D94" i="17" l="1"/>
  <c r="D96" i="17" s="1"/>
  <c r="D98" i="17" s="1"/>
  <c r="G29" i="17"/>
  <c r="G31" i="17" s="1"/>
  <c r="G113" i="17"/>
  <c r="H46" i="17"/>
  <c r="B111" i="8"/>
  <c r="A107" i="2" s="1"/>
  <c r="A112" i="8"/>
  <c r="C94" i="17"/>
  <c r="C96" i="17" s="1"/>
  <c r="C98" i="17" s="1"/>
  <c r="C113" i="17" s="1"/>
  <c r="C46" i="17"/>
  <c r="C60" i="17" s="1"/>
  <c r="E94" i="17"/>
  <c r="E96" i="17" s="1"/>
  <c r="E98" i="17" s="1"/>
  <c r="E113" i="17" s="1"/>
  <c r="F94" i="17"/>
  <c r="F96" i="17" s="1"/>
  <c r="F98" i="17" s="1"/>
  <c r="F113" i="17" s="1"/>
  <c r="H94" i="17"/>
  <c r="H96" i="17" s="1"/>
  <c r="H98" i="17" s="1"/>
  <c r="H113" i="17" s="1"/>
  <c r="G46" i="17"/>
  <c r="J29" i="17"/>
  <c r="D113" i="17"/>
  <c r="F29" i="17"/>
  <c r="F31" i="17" s="1"/>
  <c r="F46" i="17" s="1"/>
  <c r="D46" i="17"/>
  <c r="D60" i="17" s="1"/>
  <c r="K29" i="17"/>
  <c r="C62" i="17" l="1"/>
  <c r="D61" i="17"/>
  <c r="C61" i="17"/>
  <c r="A113" i="8"/>
  <c r="B112" i="8"/>
  <c r="A108" i="2" s="1"/>
  <c r="D62" i="17"/>
  <c r="A96" i="14"/>
  <c r="A99" i="14" s="1"/>
  <c r="A95" i="14"/>
  <c r="A94" i="14"/>
  <c r="P93" i="14"/>
  <c r="O93" i="14"/>
  <c r="K68" i="14"/>
  <c r="K69" i="14"/>
  <c r="K70" i="14"/>
  <c r="K71" i="14"/>
  <c r="K72" i="14"/>
  <c r="K73" i="14"/>
  <c r="K74" i="14"/>
  <c r="K75" i="14"/>
  <c r="K76" i="14"/>
  <c r="K77" i="14"/>
  <c r="K78" i="14"/>
  <c r="K79" i="14"/>
  <c r="K80" i="14"/>
  <c r="K81" i="14"/>
  <c r="K82" i="14"/>
  <c r="K83" i="14"/>
  <c r="K84" i="14"/>
  <c r="K85" i="14"/>
  <c r="K86" i="14"/>
  <c r="K67" i="14"/>
  <c r="K93" i="14" s="1"/>
  <c r="B68" i="14"/>
  <c r="B69" i="14"/>
  <c r="B70" i="14"/>
  <c r="B71" i="14"/>
  <c r="B72" i="14"/>
  <c r="B73" i="14"/>
  <c r="B74" i="14"/>
  <c r="B75" i="14"/>
  <c r="B76" i="14"/>
  <c r="B77" i="14"/>
  <c r="B78" i="14"/>
  <c r="B79" i="14"/>
  <c r="B80" i="14"/>
  <c r="B81" i="14"/>
  <c r="B82" i="14"/>
  <c r="B83" i="14"/>
  <c r="B84" i="14"/>
  <c r="B85" i="14"/>
  <c r="B86" i="14"/>
  <c r="B67" i="14"/>
  <c r="E67" i="14"/>
  <c r="E68" i="14" s="1"/>
  <c r="E69" i="14" s="1"/>
  <c r="E70" i="14" s="1"/>
  <c r="E71" i="14" s="1"/>
  <c r="E72" i="14" s="1"/>
  <c r="E73" i="14" s="1"/>
  <c r="E74" i="14" s="1"/>
  <c r="E75" i="14" s="1"/>
  <c r="E76" i="14" s="1"/>
  <c r="E77" i="14" s="1"/>
  <c r="E78" i="14" s="1"/>
  <c r="E79" i="14" s="1"/>
  <c r="E80" i="14" s="1"/>
  <c r="E81" i="14" s="1"/>
  <c r="E82" i="14" s="1"/>
  <c r="E83" i="14" s="1"/>
  <c r="E84" i="14" s="1"/>
  <c r="E85" i="14" s="1"/>
  <c r="E86" i="14" s="1"/>
  <c r="K42" i="14"/>
  <c r="K43" i="14"/>
  <c r="K44" i="14"/>
  <c r="K45" i="14"/>
  <c r="K46" i="14"/>
  <c r="K47" i="14"/>
  <c r="K48" i="14"/>
  <c r="K49" i="14"/>
  <c r="K50" i="14"/>
  <c r="K51" i="14"/>
  <c r="K52" i="14"/>
  <c r="K53" i="14"/>
  <c r="K54" i="14"/>
  <c r="K55" i="14"/>
  <c r="K56" i="14"/>
  <c r="K57" i="14"/>
  <c r="K58" i="14"/>
  <c r="K59" i="14"/>
  <c r="K60" i="14"/>
  <c r="K41" i="14"/>
  <c r="K92" i="14" s="1"/>
  <c r="B42" i="14"/>
  <c r="B43" i="14"/>
  <c r="B44" i="14"/>
  <c r="B45" i="14"/>
  <c r="B46" i="14"/>
  <c r="B47" i="14"/>
  <c r="B48" i="14"/>
  <c r="B49" i="14"/>
  <c r="B50" i="14"/>
  <c r="B51" i="14"/>
  <c r="B52" i="14"/>
  <c r="B53" i="14"/>
  <c r="B54" i="14"/>
  <c r="B55" i="14"/>
  <c r="B56" i="14"/>
  <c r="B57" i="14"/>
  <c r="B58" i="14"/>
  <c r="B59" i="14"/>
  <c r="B60" i="14"/>
  <c r="B41" i="14"/>
  <c r="C41" i="14" s="1"/>
  <c r="E15" i="14"/>
  <c r="E16" i="14" s="1"/>
  <c r="E17" i="14" s="1"/>
  <c r="E18" i="14" s="1"/>
  <c r="E19" i="14" s="1"/>
  <c r="E20" i="14" s="1"/>
  <c r="E21" i="14" s="1"/>
  <c r="E22" i="14" s="1"/>
  <c r="E41" i="14"/>
  <c r="D91" i="14" s="1"/>
  <c r="M16" i="14"/>
  <c r="O16" i="14"/>
  <c r="P16" i="14"/>
  <c r="P94" i="14" s="1"/>
  <c r="M17" i="14"/>
  <c r="O17" i="14"/>
  <c r="P17" i="14"/>
  <c r="M18" i="14"/>
  <c r="O18" i="14"/>
  <c r="P18" i="14"/>
  <c r="M19" i="14"/>
  <c r="O19" i="14"/>
  <c r="P19" i="14"/>
  <c r="M20" i="14"/>
  <c r="O20" i="14"/>
  <c r="P20" i="14"/>
  <c r="M21" i="14"/>
  <c r="O21" i="14"/>
  <c r="P21" i="14"/>
  <c r="M22" i="14"/>
  <c r="O22" i="14"/>
  <c r="P22" i="14"/>
  <c r="M23" i="14"/>
  <c r="O23" i="14"/>
  <c r="P23" i="14"/>
  <c r="M24" i="14"/>
  <c r="O24" i="14"/>
  <c r="P24" i="14"/>
  <c r="M25" i="14"/>
  <c r="O25" i="14"/>
  <c r="P25" i="14"/>
  <c r="M26" i="14"/>
  <c r="O26" i="14"/>
  <c r="P26" i="14"/>
  <c r="M27" i="14"/>
  <c r="O27" i="14"/>
  <c r="P27" i="14"/>
  <c r="M28" i="14"/>
  <c r="O28" i="14"/>
  <c r="P28" i="14"/>
  <c r="M29" i="14"/>
  <c r="O29" i="14"/>
  <c r="P29" i="14"/>
  <c r="M30" i="14"/>
  <c r="O30" i="14"/>
  <c r="P30" i="14"/>
  <c r="M31" i="14"/>
  <c r="O31" i="14"/>
  <c r="P31" i="14"/>
  <c r="M32" i="14"/>
  <c r="O32" i="14"/>
  <c r="P32" i="14"/>
  <c r="M33" i="14"/>
  <c r="O33" i="14"/>
  <c r="P33" i="14"/>
  <c r="M34" i="14"/>
  <c r="O34" i="14"/>
  <c r="P34" i="14"/>
  <c r="P15" i="14"/>
  <c r="P91" i="14" s="1"/>
  <c r="O15" i="14"/>
  <c r="O91" i="14" s="1"/>
  <c r="M15" i="14"/>
  <c r="M91" i="14" s="1"/>
  <c r="D68" i="13"/>
  <c r="C68" i="13"/>
  <c r="C69" i="13" s="1"/>
  <c r="C34" i="13"/>
  <c r="C35" i="13" s="1"/>
  <c r="C15" i="13"/>
  <c r="C16" i="13" s="1"/>
  <c r="C17" i="13" s="1"/>
  <c r="C18" i="13" s="1"/>
  <c r="B16" i="14"/>
  <c r="B17" i="14"/>
  <c r="B18" i="14"/>
  <c r="B19" i="14"/>
  <c r="B20" i="14"/>
  <c r="B21" i="14"/>
  <c r="B22" i="14"/>
  <c r="B23" i="14"/>
  <c r="B24" i="14"/>
  <c r="B25" i="14"/>
  <c r="B26" i="14"/>
  <c r="B27" i="14"/>
  <c r="B28" i="14"/>
  <c r="B29" i="14"/>
  <c r="B30" i="14"/>
  <c r="B31" i="14"/>
  <c r="B32" i="14"/>
  <c r="B33" i="14"/>
  <c r="B34" i="14"/>
  <c r="B15" i="14"/>
  <c r="C15" i="14" s="1"/>
  <c r="E34" i="13"/>
  <c r="B37" i="5"/>
  <c r="D15" i="13"/>
  <c r="E15" i="13" s="1"/>
  <c r="D11" i="13"/>
  <c r="D5" i="13"/>
  <c r="D6" i="13"/>
  <c r="E6" i="13" s="1"/>
  <c r="D7" i="13"/>
  <c r="E7" i="13" s="1"/>
  <c r="D8" i="13"/>
  <c r="E8" i="13" s="1"/>
  <c r="D4" i="13"/>
  <c r="D2" i="13"/>
  <c r="E2" i="13" s="1"/>
  <c r="B113" i="8" l="1"/>
  <c r="A109" i="2" s="1"/>
  <c r="A114" i="8"/>
  <c r="C70" i="13"/>
  <c r="C36" i="13"/>
  <c r="F69" i="13"/>
  <c r="F70" i="13" s="1"/>
  <c r="E35" i="13"/>
  <c r="D69" i="13"/>
  <c r="D70" i="13" s="1"/>
  <c r="C33" i="14"/>
  <c r="F33" i="14" s="1"/>
  <c r="E42" i="14"/>
  <c r="D94" i="14" s="1"/>
  <c r="C57" i="14"/>
  <c r="F57" i="14" s="1"/>
  <c r="C43" i="14"/>
  <c r="F43" i="14" s="1"/>
  <c r="C32" i="14"/>
  <c r="F32" i="14" s="1"/>
  <c r="C25" i="14"/>
  <c r="F25" i="14" s="1"/>
  <c r="C17" i="14"/>
  <c r="F17" i="14" s="1"/>
  <c r="C52" i="14"/>
  <c r="F52" i="14" s="1"/>
  <c r="C24" i="14"/>
  <c r="F24" i="14" s="1"/>
  <c r="C16" i="14"/>
  <c r="F16" i="14" s="1"/>
  <c r="C44" i="14"/>
  <c r="F44" i="14" s="1"/>
  <c r="C29" i="14"/>
  <c r="C49" i="14"/>
  <c r="F49" i="14" s="1"/>
  <c r="C27" i="14"/>
  <c r="F27" i="14" s="1"/>
  <c r="C19" i="14"/>
  <c r="F19" i="14" s="1"/>
  <c r="C46" i="14"/>
  <c r="F46" i="14" s="1"/>
  <c r="C26" i="14"/>
  <c r="F26" i="14" s="1"/>
  <c r="C23" i="14"/>
  <c r="F23" i="14" s="1"/>
  <c r="C84" i="14"/>
  <c r="F84" i="14" s="1"/>
  <c r="C70" i="14"/>
  <c r="F70" i="14" s="1"/>
  <c r="C78" i="14"/>
  <c r="F78" i="14" s="1"/>
  <c r="C21" i="14"/>
  <c r="F21" i="14" s="1"/>
  <c r="C34" i="14"/>
  <c r="F34" i="14" s="1"/>
  <c r="C31" i="14"/>
  <c r="F31" i="14" s="1"/>
  <c r="C18" i="14"/>
  <c r="F18" i="14" s="1"/>
  <c r="C51" i="14"/>
  <c r="F51" i="14" s="1"/>
  <c r="C28" i="14"/>
  <c r="F28" i="14" s="1"/>
  <c r="C20" i="14"/>
  <c r="F20" i="14" s="1"/>
  <c r="C60" i="14"/>
  <c r="F60" i="14" s="1"/>
  <c r="C54" i="14"/>
  <c r="F54" i="14" s="1"/>
  <c r="C73" i="14"/>
  <c r="F73" i="14" s="1"/>
  <c r="C55" i="14"/>
  <c r="C30" i="14"/>
  <c r="F30" i="14" s="1"/>
  <c r="C22" i="14"/>
  <c r="C59" i="14"/>
  <c r="F59" i="14" s="1"/>
  <c r="C53" i="14"/>
  <c r="F53" i="14" s="1"/>
  <c r="C47" i="14"/>
  <c r="F47" i="14" s="1"/>
  <c r="C56" i="14"/>
  <c r="F56" i="14" s="1"/>
  <c r="C48" i="14"/>
  <c r="C45" i="14"/>
  <c r="F45" i="14" s="1"/>
  <c r="C83" i="14"/>
  <c r="F83" i="14" s="1"/>
  <c r="C79" i="14"/>
  <c r="F79" i="14" s="1"/>
  <c r="C75" i="14"/>
  <c r="F75" i="14" s="1"/>
  <c r="C77" i="14"/>
  <c r="F77" i="14" s="1"/>
  <c r="C58" i="14"/>
  <c r="F58" i="14" s="1"/>
  <c r="C50" i="14"/>
  <c r="F50" i="14" s="1"/>
  <c r="C42" i="14"/>
  <c r="F42" i="14" s="1"/>
  <c r="C69" i="14"/>
  <c r="F69" i="14" s="1"/>
  <c r="A102" i="14"/>
  <c r="P99" i="14"/>
  <c r="O99" i="14"/>
  <c r="K99" i="14"/>
  <c r="O94" i="14"/>
  <c r="K96" i="14"/>
  <c r="O96" i="14"/>
  <c r="A98" i="14"/>
  <c r="P96" i="14"/>
  <c r="A97" i="14"/>
  <c r="M94" i="14"/>
  <c r="K95" i="14"/>
  <c r="O95" i="14"/>
  <c r="C74" i="14"/>
  <c r="C82" i="14"/>
  <c r="F82" i="14" s="1"/>
  <c r="C86" i="14"/>
  <c r="F86" i="14" s="1"/>
  <c r="C71" i="14"/>
  <c r="F71" i="14" s="1"/>
  <c r="C81" i="14"/>
  <c r="C85" i="14"/>
  <c r="F85" i="14" s="1"/>
  <c r="C72" i="14"/>
  <c r="F72" i="14" s="1"/>
  <c r="C76" i="14"/>
  <c r="F76" i="14" s="1"/>
  <c r="C80" i="14"/>
  <c r="F80" i="14" s="1"/>
  <c r="C67" i="14"/>
  <c r="C68" i="14"/>
  <c r="F68" i="14" s="1"/>
  <c r="E23" i="14"/>
  <c r="E24" i="14" s="1"/>
  <c r="E25" i="14" s="1"/>
  <c r="E26" i="14" s="1"/>
  <c r="E27" i="14" s="1"/>
  <c r="E28" i="14" s="1"/>
  <c r="E29" i="14" s="1"/>
  <c r="C19" i="13"/>
  <c r="D16" i="13"/>
  <c r="D26" i="13"/>
  <c r="E36" i="13" l="1"/>
  <c r="B114" i="8"/>
  <c r="A110" i="2" s="1"/>
  <c r="A115" i="8"/>
  <c r="C37" i="13"/>
  <c r="C71" i="13"/>
  <c r="F71" i="13" s="1"/>
  <c r="E43" i="14"/>
  <c r="E44" i="14" s="1"/>
  <c r="M97" i="14"/>
  <c r="A100" i="14"/>
  <c r="P97" i="14"/>
  <c r="O97" i="14"/>
  <c r="A105" i="14"/>
  <c r="O102" i="14"/>
  <c r="K102" i="14"/>
  <c r="P102" i="14"/>
  <c r="O98" i="14"/>
  <c r="K98" i="14"/>
  <c r="A101" i="14"/>
  <c r="E30" i="14"/>
  <c r="E31" i="14" s="1"/>
  <c r="E32" i="14" s="1"/>
  <c r="E33" i="14" s="1"/>
  <c r="E34" i="14" s="1"/>
  <c r="C20" i="13"/>
  <c r="D17" i="13"/>
  <c r="E16" i="13"/>
  <c r="D71" i="13" l="1"/>
  <c r="A116" i="8"/>
  <c r="B115" i="8"/>
  <c r="A112" i="2" s="1"/>
  <c r="C72" i="13"/>
  <c r="C38" i="13"/>
  <c r="E37" i="13"/>
  <c r="E38" i="13" s="1"/>
  <c r="D97" i="14"/>
  <c r="E45" i="14"/>
  <c r="D100" i="14"/>
  <c r="A104" i="14"/>
  <c r="O101" i="14"/>
  <c r="K101" i="14"/>
  <c r="A108" i="14"/>
  <c r="P105" i="14"/>
  <c r="O105" i="14"/>
  <c r="K105" i="14"/>
  <c r="O100" i="14"/>
  <c r="M100" i="14"/>
  <c r="A103" i="14"/>
  <c r="P100" i="14"/>
  <c r="C21" i="13"/>
  <c r="D18" i="13"/>
  <c r="E17" i="13"/>
  <c r="D72" i="13" l="1"/>
  <c r="A117" i="8"/>
  <c r="B116" i="8"/>
  <c r="A113" i="2" s="1"/>
  <c r="C39" i="13"/>
  <c r="C73" i="13"/>
  <c r="F72" i="13"/>
  <c r="E46" i="14"/>
  <c r="D103" i="14"/>
  <c r="A106" i="14"/>
  <c r="P103" i="14"/>
  <c r="O103" i="14"/>
  <c r="M103" i="14"/>
  <c r="A111" i="14"/>
  <c r="P108" i="14"/>
  <c r="O108" i="14"/>
  <c r="K108" i="14"/>
  <c r="O104" i="14"/>
  <c r="K104" i="14"/>
  <c r="A107" i="14"/>
  <c r="C22" i="13"/>
  <c r="D73" i="13"/>
  <c r="D19" i="13"/>
  <c r="E18" i="13"/>
  <c r="B117" i="8" l="1"/>
  <c r="A114" i="2" s="1"/>
  <c r="A118" i="8"/>
  <c r="C74" i="13"/>
  <c r="D74" i="13" s="1"/>
  <c r="F73" i="13"/>
  <c r="C40" i="13"/>
  <c r="E39" i="13"/>
  <c r="E47" i="14"/>
  <c r="D106" i="14"/>
  <c r="O107" i="14"/>
  <c r="K107" i="14"/>
  <c r="A110" i="14"/>
  <c r="O111" i="14"/>
  <c r="K111" i="14"/>
  <c r="A114" i="14"/>
  <c r="P111" i="14"/>
  <c r="M106" i="14"/>
  <c r="A109" i="14"/>
  <c r="P106" i="14"/>
  <c r="O106" i="14"/>
  <c r="C23" i="13"/>
  <c r="D20" i="13"/>
  <c r="E19" i="13"/>
  <c r="E40" i="13" l="1"/>
  <c r="B118" i="8"/>
  <c r="A116" i="2" s="1"/>
  <c r="A119" i="8"/>
  <c r="C41" i="13"/>
  <c r="C75" i="13"/>
  <c r="F74" i="13"/>
  <c r="E48" i="14"/>
  <c r="D109" i="14"/>
  <c r="O109" i="14"/>
  <c r="M109" i="14"/>
  <c r="A112" i="14"/>
  <c r="P109" i="14"/>
  <c r="A113" i="14"/>
  <c r="O110" i="14"/>
  <c r="K110" i="14"/>
  <c r="P114" i="14"/>
  <c r="O114" i="14"/>
  <c r="K114" i="14"/>
  <c r="A117" i="14"/>
  <c r="C24" i="13"/>
  <c r="B16" i="13" s="1"/>
  <c r="D75" i="13"/>
  <c r="D21" i="13"/>
  <c r="E20" i="13"/>
  <c r="B119" i="8" l="1"/>
  <c r="A117" i="2" s="1"/>
  <c r="A120" i="8"/>
  <c r="B21" i="13"/>
  <c r="C76" i="13"/>
  <c r="F75" i="13"/>
  <c r="E41" i="13"/>
  <c r="C42" i="13"/>
  <c r="E49" i="14"/>
  <c r="D112" i="14"/>
  <c r="A120" i="14"/>
  <c r="P117" i="14"/>
  <c r="O117" i="14"/>
  <c r="K117" i="14"/>
  <c r="A116" i="14"/>
  <c r="O113" i="14"/>
  <c r="K113" i="14"/>
  <c r="A115" i="14"/>
  <c r="P112" i="14"/>
  <c r="O112" i="14"/>
  <c r="M112" i="14"/>
  <c r="B24" i="13"/>
  <c r="B22" i="13"/>
  <c r="B15" i="13"/>
  <c r="B20" i="13"/>
  <c r="B17" i="13"/>
  <c r="B18" i="13"/>
  <c r="B23" i="13"/>
  <c r="B19" i="13"/>
  <c r="D76" i="13"/>
  <c r="D22" i="13"/>
  <c r="E21" i="13"/>
  <c r="A121" i="8" l="1"/>
  <c r="B120" i="8"/>
  <c r="A118" i="2" s="1"/>
  <c r="E42" i="13"/>
  <c r="C43" i="13"/>
  <c r="C77" i="13"/>
  <c r="D77" i="13" s="1"/>
  <c r="F76" i="13"/>
  <c r="E50" i="14"/>
  <c r="D115" i="14"/>
  <c r="O116" i="14"/>
  <c r="K116" i="14"/>
  <c r="A119" i="14"/>
  <c r="M115" i="14"/>
  <c r="A118" i="14"/>
  <c r="P115" i="14"/>
  <c r="O115" i="14"/>
  <c r="A123" i="14"/>
  <c r="P120" i="14"/>
  <c r="O120" i="14"/>
  <c r="K120" i="14"/>
  <c r="D23" i="13"/>
  <c r="E22" i="13"/>
  <c r="B121" i="8" l="1"/>
  <c r="A119" i="2" s="1"/>
  <c r="A122" i="8"/>
  <c r="F77" i="13"/>
  <c r="C78" i="13"/>
  <c r="C44" i="13"/>
  <c r="E43" i="13"/>
  <c r="E51" i="14"/>
  <c r="D118" i="14"/>
  <c r="O123" i="14"/>
  <c r="K123" i="14"/>
  <c r="A126" i="14"/>
  <c r="P123" i="14"/>
  <c r="O119" i="14"/>
  <c r="K119" i="14"/>
  <c r="A122" i="14"/>
  <c r="M118" i="14"/>
  <c r="A121" i="14"/>
  <c r="P118" i="14"/>
  <c r="O118" i="14"/>
  <c r="D78" i="13"/>
  <c r="D24" i="13"/>
  <c r="E24" i="13" s="1"/>
  <c r="E23" i="13"/>
  <c r="E44" i="13" l="1"/>
  <c r="B122" i="8"/>
  <c r="A120" i="2" s="1"/>
  <c r="A123" i="8"/>
  <c r="C45" i="13"/>
  <c r="C79" i="13"/>
  <c r="F78" i="13"/>
  <c r="E52" i="14"/>
  <c r="D121" i="14"/>
  <c r="A129" i="14"/>
  <c r="P126" i="14"/>
  <c r="O126" i="14"/>
  <c r="K126" i="14"/>
  <c r="O121" i="14"/>
  <c r="M121" i="14"/>
  <c r="A124" i="14"/>
  <c r="P121" i="14"/>
  <c r="A125" i="14"/>
  <c r="O122" i="14"/>
  <c r="K122" i="14"/>
  <c r="D79" i="13"/>
  <c r="A124" i="8" l="1"/>
  <c r="B123" i="8"/>
  <c r="C5" i="2" s="1"/>
  <c r="C80" i="13"/>
  <c r="F79" i="13"/>
  <c r="E45" i="13"/>
  <c r="C46" i="13"/>
  <c r="E53" i="14"/>
  <c r="D124" i="14"/>
  <c r="P129" i="14"/>
  <c r="O129" i="14"/>
  <c r="K129" i="14"/>
  <c r="A132" i="14"/>
  <c r="A128" i="14"/>
  <c r="O125" i="14"/>
  <c r="K125" i="14"/>
  <c r="P124" i="14"/>
  <c r="O124" i="14"/>
  <c r="A127" i="14"/>
  <c r="M124" i="14"/>
  <c r="D80" i="13"/>
  <c r="A125" i="8" l="1"/>
  <c r="B124" i="8"/>
  <c r="D3" i="1" s="1"/>
  <c r="E46" i="13"/>
  <c r="F80" i="13"/>
  <c r="C81" i="13"/>
  <c r="D81" i="13" s="1"/>
  <c r="C47" i="13"/>
  <c r="E54" i="14"/>
  <c r="D127" i="14"/>
  <c r="A130" i="14"/>
  <c r="P127" i="14"/>
  <c r="O127" i="14"/>
  <c r="M127" i="14"/>
  <c r="A131" i="14"/>
  <c r="O128" i="14"/>
  <c r="K128" i="14"/>
  <c r="A135" i="14"/>
  <c r="P132" i="14"/>
  <c r="O132" i="14"/>
  <c r="K132" i="14"/>
  <c r="B125" i="8" l="1"/>
  <c r="D4" i="1" s="1"/>
  <c r="A126" i="8"/>
  <c r="E47" i="13"/>
  <c r="C48" i="13"/>
  <c r="C82" i="13"/>
  <c r="D82" i="13" s="1"/>
  <c r="F81" i="13"/>
  <c r="E55" i="14"/>
  <c r="D130" i="14"/>
  <c r="O131" i="14"/>
  <c r="K131" i="14"/>
  <c r="A134" i="14"/>
  <c r="A138" i="14"/>
  <c r="P135" i="14"/>
  <c r="O135" i="14"/>
  <c r="K135" i="14"/>
  <c r="M130" i="14"/>
  <c r="A133" i="14"/>
  <c r="P130" i="14"/>
  <c r="O130" i="14"/>
  <c r="B126" i="8" l="1"/>
  <c r="D6" i="1" s="1"/>
  <c r="A127" i="8"/>
  <c r="C49" i="13"/>
  <c r="E48" i="13"/>
  <c r="C83" i="13"/>
  <c r="D83" i="13" s="1"/>
  <c r="F82" i="13"/>
  <c r="E56" i="14"/>
  <c r="D133" i="14"/>
  <c r="M133" i="14"/>
  <c r="A136" i="14"/>
  <c r="P133" i="14"/>
  <c r="O133" i="14"/>
  <c r="O134" i="14"/>
  <c r="K134" i="14"/>
  <c r="A137" i="14"/>
  <c r="O138" i="14"/>
  <c r="K138" i="14"/>
  <c r="A141" i="14"/>
  <c r="P138" i="14"/>
  <c r="B127" i="8" l="1"/>
  <c r="D7" i="1" s="1"/>
  <c r="A128" i="8"/>
  <c r="C50" i="13"/>
  <c r="E49" i="13"/>
  <c r="E50" i="13" s="1"/>
  <c r="F83" i="13"/>
  <c r="C84" i="13"/>
  <c r="D84" i="13" s="1"/>
  <c r="E57" i="14"/>
  <c r="D136" i="14"/>
  <c r="O136" i="14"/>
  <c r="M136" i="14"/>
  <c r="A139" i="14"/>
  <c r="P136" i="14"/>
  <c r="P141" i="14"/>
  <c r="O141" i="14"/>
  <c r="K141" i="14"/>
  <c r="A144" i="14"/>
  <c r="A140" i="14"/>
  <c r="O137" i="14"/>
  <c r="K137" i="14"/>
  <c r="A129" i="8" l="1"/>
  <c r="B128" i="8"/>
  <c r="D8" i="1" s="1"/>
  <c r="C51" i="13"/>
  <c r="F84" i="13"/>
  <c r="C85" i="13"/>
  <c r="D85" i="13" s="1"/>
  <c r="E58" i="14"/>
  <c r="D139" i="14"/>
  <c r="A142" i="14"/>
  <c r="P139" i="14"/>
  <c r="O139" i="14"/>
  <c r="M139" i="14"/>
  <c r="A143" i="14"/>
  <c r="O140" i="14"/>
  <c r="K140" i="14"/>
  <c r="A147" i="14"/>
  <c r="P144" i="14"/>
  <c r="O144" i="14"/>
  <c r="K144" i="14"/>
  <c r="B129" i="8" l="1"/>
  <c r="D10" i="1" s="1"/>
  <c r="A130" i="8"/>
  <c r="C86" i="13"/>
  <c r="F85" i="13"/>
  <c r="C52" i="13"/>
  <c r="E51" i="13"/>
  <c r="E59" i="14"/>
  <c r="D142" i="14"/>
  <c r="O143" i="14"/>
  <c r="K143" i="14"/>
  <c r="A146" i="14"/>
  <c r="A150" i="14"/>
  <c r="P147" i="14"/>
  <c r="O147" i="14"/>
  <c r="K147" i="14"/>
  <c r="M142" i="14"/>
  <c r="A145" i="14"/>
  <c r="P142" i="14"/>
  <c r="O142" i="14"/>
  <c r="D86" i="13"/>
  <c r="E52" i="13" l="1"/>
  <c r="B130" i="8"/>
  <c r="D11" i="1" s="1"/>
  <c r="A131" i="8"/>
  <c r="C53" i="13"/>
  <c r="F86" i="13"/>
  <c r="C87" i="13"/>
  <c r="D87" i="13" s="1"/>
  <c r="E60" i="14"/>
  <c r="D148" i="14" s="1"/>
  <c r="D145" i="14"/>
  <c r="M145" i="14"/>
  <c r="A148" i="14"/>
  <c r="P145" i="14"/>
  <c r="O145" i="14"/>
  <c r="O146" i="14"/>
  <c r="K146" i="14"/>
  <c r="A149" i="14"/>
  <c r="O150" i="14"/>
  <c r="K150" i="14"/>
  <c r="P150" i="14"/>
  <c r="A132" i="8" l="1"/>
  <c r="B131" i="8"/>
  <c r="D12" i="1" s="1"/>
  <c r="C54" i="13"/>
  <c r="E53" i="13"/>
  <c r="E54" i="13" s="1"/>
  <c r="C88" i="13"/>
  <c r="D88" i="13" s="1"/>
  <c r="F87" i="13"/>
  <c r="O148" i="14"/>
  <c r="M148" i="14"/>
  <c r="P148" i="14"/>
  <c r="O149" i="14"/>
  <c r="K149" i="14"/>
  <c r="A133" i="8" l="1"/>
  <c r="B132" i="8"/>
  <c r="D13" i="1" s="1"/>
  <c r="C55" i="13"/>
  <c r="F88" i="13"/>
  <c r="C89" i="13"/>
  <c r="B133" i="8" l="1"/>
  <c r="D14" i="1" s="1"/>
  <c r="A134" i="8"/>
  <c r="C90" i="13"/>
  <c r="F89" i="13"/>
  <c r="C56" i="13"/>
  <c r="E55" i="13"/>
  <c r="D89" i="13"/>
  <c r="A135" i="8" l="1"/>
  <c r="B134" i="8"/>
  <c r="D15" i="1" s="1"/>
  <c r="C57" i="13"/>
  <c r="C91" i="13"/>
  <c r="F90" i="13"/>
  <c r="D90" i="13"/>
  <c r="E56" i="13"/>
  <c r="D91" i="13" l="1"/>
  <c r="B135" i="8"/>
  <c r="D17" i="1" s="1"/>
  <c r="A136" i="8"/>
  <c r="C58" i="13"/>
  <c r="E57" i="13"/>
  <c r="F91" i="13"/>
  <c r="C92" i="13"/>
  <c r="A137" i="8" l="1"/>
  <c r="B136" i="8"/>
  <c r="D18" i="1" s="1"/>
  <c r="C59" i="13"/>
  <c r="D92" i="13"/>
  <c r="C93" i="13"/>
  <c r="F92" i="13"/>
  <c r="E58" i="13"/>
  <c r="B137" i="8" l="1"/>
  <c r="D19" i="1" s="1"/>
  <c r="A138" i="8"/>
  <c r="D93" i="13"/>
  <c r="E59" i="13"/>
  <c r="C60" i="13"/>
  <c r="F93" i="13"/>
  <c r="C94" i="13"/>
  <c r="D94" i="13" l="1"/>
  <c r="A139" i="8"/>
  <c r="B138" i="8"/>
  <c r="D20" i="1" s="1"/>
  <c r="C61" i="13"/>
  <c r="E60" i="13"/>
  <c r="F94" i="13"/>
  <c r="C95" i="13"/>
  <c r="D95" i="13" l="1"/>
  <c r="B139" i="8"/>
  <c r="D21" i="1" s="1"/>
  <c r="A140" i="8"/>
  <c r="C62" i="13"/>
  <c r="B61" i="13" s="1"/>
  <c r="E61" i="13"/>
  <c r="E62" i="13" s="1"/>
  <c r="B56" i="13"/>
  <c r="B60" i="13"/>
  <c r="C96" i="13"/>
  <c r="B91" i="13" s="1"/>
  <c r="F95" i="13"/>
  <c r="B90" i="13" l="1"/>
  <c r="B93" i="13"/>
  <c r="B57" i="13"/>
  <c r="A141" i="8"/>
  <c r="B140" i="8"/>
  <c r="D22" i="1" s="1"/>
  <c r="B95" i="13"/>
  <c r="D96" i="13"/>
  <c r="B62" i="13"/>
  <c r="B35" i="13"/>
  <c r="B37" i="13"/>
  <c r="B34" i="13"/>
  <c r="B38" i="13"/>
  <c r="B36" i="13"/>
  <c r="B39" i="13"/>
  <c r="B41" i="13"/>
  <c r="B42" i="13"/>
  <c r="B40" i="13"/>
  <c r="B43" i="13"/>
  <c r="E28" i="13" s="1"/>
  <c r="D35" i="13" s="1"/>
  <c r="D36" i="13" s="1"/>
  <c r="D37" i="13" s="1"/>
  <c r="D38" i="13" s="1"/>
  <c r="D39" i="13" s="1"/>
  <c r="D40" i="13" s="1"/>
  <c r="D41" i="13" s="1"/>
  <c r="D42" i="13" s="1"/>
  <c r="B44" i="13"/>
  <c r="B46" i="13"/>
  <c r="B45" i="13"/>
  <c r="B47" i="13"/>
  <c r="B48" i="13"/>
  <c r="B49" i="13"/>
  <c r="B50" i="13"/>
  <c r="B51" i="13"/>
  <c r="B54" i="13"/>
  <c r="B53" i="13"/>
  <c r="B52" i="13"/>
  <c r="B59" i="13"/>
  <c r="B96" i="13"/>
  <c r="B68" i="13"/>
  <c r="B73" i="13"/>
  <c r="B69" i="13"/>
  <c r="B70" i="13"/>
  <c r="B71" i="13"/>
  <c r="B72" i="13"/>
  <c r="B75" i="13"/>
  <c r="B74" i="13"/>
  <c r="B78" i="13"/>
  <c r="B79" i="13"/>
  <c r="B76" i="13"/>
  <c r="B81" i="13"/>
  <c r="B80" i="13"/>
  <c r="B77" i="13"/>
  <c r="B82" i="13"/>
  <c r="B83" i="13"/>
  <c r="B84" i="13"/>
  <c r="B87" i="13"/>
  <c r="B89" i="13"/>
  <c r="B85" i="13"/>
  <c r="B86" i="13"/>
  <c r="F96" i="13"/>
  <c r="B92" i="13"/>
  <c r="B88" i="13"/>
  <c r="B94" i="13"/>
  <c r="B58" i="13"/>
  <c r="B55" i="13"/>
  <c r="D3" i="10"/>
  <c r="B141" i="8" l="1"/>
  <c r="D23" i="1" s="1"/>
  <c r="A142" i="8"/>
  <c r="E29" i="13"/>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O11" i="8"/>
  <c r="A143" i="8" l="1"/>
  <c r="B142" i="8"/>
  <c r="D24" i="1" s="1"/>
  <c r="B143" i="8" l="1"/>
  <c r="A144" i="8"/>
  <c r="A145" i="8" l="1"/>
  <c r="B144" i="8"/>
  <c r="H46" i="2"/>
  <c r="G46" i="2"/>
  <c r="D94" i="4"/>
  <c r="C94" i="4"/>
  <c r="B145" i="8" l="1"/>
  <c r="A146" i="8"/>
  <c r="B83" i="4"/>
  <c r="B86" i="4"/>
  <c r="A147" i="8" l="1"/>
  <c r="B146" i="8"/>
  <c r="C16" i="2" s="1"/>
  <c r="B84" i="4"/>
  <c r="B85" i="4" s="1"/>
  <c r="O15" i="8" s="1"/>
  <c r="C76" i="2"/>
  <c r="C56" i="4"/>
  <c r="L3" i="10"/>
  <c r="D73" i="4"/>
  <c r="C73" i="4"/>
  <c r="G30" i="2"/>
  <c r="E44" i="2" s="1"/>
  <c r="B70" i="4" s="1"/>
  <c r="B72" i="4" s="1"/>
  <c r="B35" i="9"/>
  <c r="C35" i="9"/>
  <c r="C34" i="9"/>
  <c r="C39" i="9" s="1"/>
  <c r="B34" i="9"/>
  <c r="B39" i="9" s="1"/>
  <c r="B147" i="8" l="1"/>
  <c r="A148" i="8"/>
  <c r="B74" i="4"/>
  <c r="O13" i="8"/>
  <c r="I3" i="10"/>
  <c r="M3" i="10"/>
  <c r="F3" i="10"/>
  <c r="J3" i="10"/>
  <c r="N3" i="10"/>
  <c r="G3" i="10"/>
  <c r="K3" i="10"/>
  <c r="H3" i="10"/>
  <c r="D50" i="10" l="1"/>
  <c r="D51" i="10"/>
  <c r="D49" i="10"/>
  <c r="D21" i="10"/>
  <c r="D29" i="10"/>
  <c r="D37" i="10"/>
  <c r="D30" i="10"/>
  <c r="D22" i="10"/>
  <c r="D34" i="10"/>
  <c r="D35" i="10"/>
  <c r="D28" i="10"/>
  <c r="D36" i="10"/>
  <c r="D23" i="10"/>
  <c r="D31" i="10"/>
  <c r="D32" i="10"/>
  <c r="D25" i="10"/>
  <c r="D33" i="10"/>
  <c r="D24" i="10"/>
  <c r="D26" i="10"/>
  <c r="D27" i="10"/>
  <c r="D45" i="10"/>
  <c r="B42" i="5" s="1"/>
  <c r="B109" i="2" s="1"/>
  <c r="D46" i="10"/>
  <c r="B44" i="5" s="1"/>
  <c r="B117" i="2" s="1"/>
  <c r="D48" i="10"/>
  <c r="B46" i="5" s="1"/>
  <c r="B119" i="2" s="1"/>
  <c r="D43" i="10"/>
  <c r="B40" i="5" s="1"/>
  <c r="B107" i="2" s="1"/>
  <c r="D47" i="10"/>
  <c r="B45" i="5" s="1"/>
  <c r="B118" i="2" s="1"/>
  <c r="D44" i="10"/>
  <c r="B41" i="5" s="1"/>
  <c r="B108" i="2" s="1"/>
  <c r="A149" i="8"/>
  <c r="B148" i="8"/>
  <c r="G10" i="2" s="1"/>
  <c r="D12" i="10"/>
  <c r="B11" i="5" s="1"/>
  <c r="D16" i="10"/>
  <c r="D20" i="10"/>
  <c r="D41" i="10"/>
  <c r="D13" i="10"/>
  <c r="D17" i="10"/>
  <c r="D38" i="10"/>
  <c r="D42" i="10"/>
  <c r="D14" i="10"/>
  <c r="D18" i="10"/>
  <c r="D39" i="10"/>
  <c r="D15" i="10"/>
  <c r="D19" i="10"/>
  <c r="D40" i="10"/>
  <c r="D4" i="10"/>
  <c r="B7" i="5" s="1"/>
  <c r="D5" i="10"/>
  <c r="B8" i="5" s="1"/>
  <c r="D10" i="10"/>
  <c r="B22" i="5" s="1"/>
  <c r="D11" i="10"/>
  <c r="B23" i="5" s="1"/>
  <c r="D9" i="10"/>
  <c r="D8" i="10"/>
  <c r="D7" i="10"/>
  <c r="D6" i="10"/>
  <c r="A150" i="8" l="1"/>
  <c r="A151" i="8" s="1"/>
  <c r="B149" i="8"/>
  <c r="A25" i="2" s="1"/>
  <c r="C14" i="4"/>
  <c r="B151" i="8" l="1"/>
  <c r="H28" i="2" s="1"/>
  <c r="A152" i="8"/>
  <c r="B152" i="8" s="1"/>
  <c r="H30" i="2" s="1"/>
  <c r="B150" i="8"/>
  <c r="B46" i="2" s="1"/>
  <c r="B16" i="4"/>
  <c r="B17" i="4" l="1"/>
  <c r="C16" i="4"/>
  <c r="D16" i="4"/>
  <c r="D14" i="4"/>
  <c r="B14" i="4"/>
  <c r="B10" i="4"/>
  <c r="B27" i="9" s="1"/>
  <c r="B9" i="4"/>
  <c r="B26" i="9" s="1"/>
  <c r="B8" i="4"/>
  <c r="B25" i="9" s="1"/>
  <c r="B7" i="4"/>
  <c r="D92" i="4" s="1"/>
  <c r="B6" i="4"/>
  <c r="B4" i="4"/>
  <c r="B49" i="9" l="1"/>
  <c r="B43" i="9"/>
  <c r="H45" i="2"/>
  <c r="C92" i="4"/>
  <c r="G45" i="2" s="1"/>
  <c r="C43" i="9"/>
  <c r="B28" i="9"/>
  <c r="C109" i="2"/>
  <c r="C107" i="2"/>
  <c r="C108" i="2"/>
  <c r="B23" i="9"/>
  <c r="B4" i="6"/>
  <c r="B18" i="4"/>
  <c r="B6" i="6" s="1"/>
  <c r="B2" i="6"/>
  <c r="A153" i="8" l="1"/>
  <c r="C17" i="4"/>
  <c r="C18" i="4" s="1"/>
  <c r="C20" i="4" s="1"/>
  <c r="B30" i="6" s="1"/>
  <c r="D17" i="4"/>
  <c r="G16" i="2" s="1"/>
  <c r="E100" i="2"/>
  <c r="C100" i="2"/>
  <c r="C53" i="2"/>
  <c r="A154" i="8" l="1"/>
  <c r="B153" i="8"/>
  <c r="G42" i="2" s="1"/>
  <c r="B87" i="4"/>
  <c r="C91" i="2" s="1"/>
  <c r="D18" i="4"/>
  <c r="F16" i="2"/>
  <c r="E109" i="2"/>
  <c r="E108" i="2"/>
  <c r="E107" i="2"/>
  <c r="A155" i="8" l="1"/>
  <c r="B154" i="8"/>
  <c r="H42" i="2" s="1"/>
  <c r="K18" i="14"/>
  <c r="K100" i="14" s="1"/>
  <c r="K22" i="14"/>
  <c r="K112" i="14" s="1"/>
  <c r="K26" i="14"/>
  <c r="K124" i="14" s="1"/>
  <c r="K30" i="14"/>
  <c r="K136" i="14" s="1"/>
  <c r="K34" i="14"/>
  <c r="K148" i="14" s="1"/>
  <c r="K24" i="14"/>
  <c r="K118" i="14" s="1"/>
  <c r="K28" i="14"/>
  <c r="K130" i="14" s="1"/>
  <c r="K17" i="14"/>
  <c r="K97" i="14" s="1"/>
  <c r="K21" i="14"/>
  <c r="K109" i="14" s="1"/>
  <c r="K25" i="14"/>
  <c r="K121" i="14" s="1"/>
  <c r="K29" i="14"/>
  <c r="K133" i="14" s="1"/>
  <c r="K33" i="14"/>
  <c r="K145" i="14" s="1"/>
  <c r="K20" i="14"/>
  <c r="K106" i="14" s="1"/>
  <c r="K15" i="14"/>
  <c r="K91" i="14" s="1"/>
  <c r="K32" i="14"/>
  <c r="K142" i="14" s="1"/>
  <c r="K16" i="14"/>
  <c r="K94" i="14" s="1"/>
  <c r="K19" i="14"/>
  <c r="K103" i="14" s="1"/>
  <c r="K23" i="14"/>
  <c r="K115" i="14" s="1"/>
  <c r="K27" i="14"/>
  <c r="K127" i="14" s="1"/>
  <c r="K31" i="14"/>
  <c r="K139" i="14" s="1"/>
  <c r="A156" i="8" l="1"/>
  <c r="B155" i="8"/>
  <c r="A92" i="2" s="1"/>
  <c r="B156" i="8" l="1"/>
  <c r="C11" i="2" s="1"/>
  <c r="A157" i="8"/>
  <c r="C110" i="2"/>
  <c r="A158" i="8" l="1"/>
  <c r="B157" i="8"/>
  <c r="A2" i="3" s="1"/>
  <c r="E110" i="2"/>
  <c r="B158" i="8" l="1"/>
  <c r="A3" i="3" s="1"/>
  <c r="A159" i="8"/>
  <c r="A160" i="8" l="1"/>
  <c r="B159" i="8"/>
  <c r="A4" i="3" s="1"/>
  <c r="B160" i="8" l="1"/>
  <c r="A5" i="3" s="1"/>
  <c r="A161" i="8"/>
  <c r="A162" i="8" l="1"/>
  <c r="B161" i="8"/>
  <c r="A6" i="3" s="1"/>
  <c r="B162" i="8" l="1"/>
  <c r="A7" i="3" s="1"/>
  <c r="A163" i="8"/>
  <c r="A164" i="8" l="1"/>
  <c r="B163" i="8"/>
  <c r="A8" i="3" s="1"/>
  <c r="A165" i="8" l="1"/>
  <c r="B164" i="8"/>
  <c r="A9" i="3" s="1"/>
  <c r="D92" i="2"/>
  <c r="L60" i="14" s="1"/>
  <c r="L149" i="14" s="1"/>
  <c r="C92" i="2"/>
  <c r="L31" i="14" s="1"/>
  <c r="L139" i="14" s="1"/>
  <c r="E92" i="2"/>
  <c r="L72" i="14" s="1"/>
  <c r="L108" i="14" s="1"/>
  <c r="A166" i="8" l="1"/>
  <c r="B165" i="8"/>
  <c r="A10" i="3" s="1"/>
  <c r="L43" i="14"/>
  <c r="L98" i="14" s="1"/>
  <c r="L49" i="14"/>
  <c r="L116" i="14" s="1"/>
  <c r="L51" i="14"/>
  <c r="L122" i="14" s="1"/>
  <c r="L59" i="14"/>
  <c r="L146" i="14" s="1"/>
  <c r="L41" i="14"/>
  <c r="L92" i="14" s="1"/>
  <c r="L55" i="14"/>
  <c r="L134" i="14" s="1"/>
  <c r="L58" i="14"/>
  <c r="L143" i="14" s="1"/>
  <c r="L54" i="14"/>
  <c r="L131" i="14" s="1"/>
  <c r="L50" i="14"/>
  <c r="L119" i="14" s="1"/>
  <c r="L53" i="14"/>
  <c r="L128" i="14" s="1"/>
  <c r="L57" i="14"/>
  <c r="L140" i="14" s="1"/>
  <c r="L71" i="14"/>
  <c r="L105" i="14" s="1"/>
  <c r="L47" i="14"/>
  <c r="L110" i="14" s="1"/>
  <c r="L46" i="14"/>
  <c r="L107" i="14" s="1"/>
  <c r="L45" i="14"/>
  <c r="L104" i="14" s="1"/>
  <c r="L73" i="14"/>
  <c r="L111" i="14" s="1"/>
  <c r="L79" i="14"/>
  <c r="L129" i="14" s="1"/>
  <c r="L70" i="14"/>
  <c r="L102" i="14" s="1"/>
  <c r="L75" i="14"/>
  <c r="L117" i="14" s="1"/>
  <c r="L42" i="14"/>
  <c r="L95" i="14" s="1"/>
  <c r="L86" i="14"/>
  <c r="L150" i="14" s="1"/>
  <c r="L68" i="14"/>
  <c r="L96" i="14" s="1"/>
  <c r="L56" i="14"/>
  <c r="L137" i="14" s="1"/>
  <c r="L85" i="14"/>
  <c r="L147" i="14" s="1"/>
  <c r="L82" i="14"/>
  <c r="L138" i="14" s="1"/>
  <c r="L67" i="14"/>
  <c r="L93" i="14" s="1"/>
  <c r="L77" i="14"/>
  <c r="L123" i="14" s="1"/>
  <c r="L83" i="14"/>
  <c r="L141" i="14" s="1"/>
  <c r="L74" i="14"/>
  <c r="L114" i="14" s="1"/>
  <c r="L84" i="14"/>
  <c r="L144" i="14" s="1"/>
  <c r="L78" i="14"/>
  <c r="L126" i="14" s="1"/>
  <c r="L76" i="14"/>
  <c r="L120" i="14" s="1"/>
  <c r="L44" i="14"/>
  <c r="L101" i="14" s="1"/>
  <c r="L80" i="14"/>
  <c r="L132" i="14" s="1"/>
  <c r="L81" i="14"/>
  <c r="L135" i="14" s="1"/>
  <c r="L69" i="14"/>
  <c r="L99" i="14" s="1"/>
  <c r="L48" i="14"/>
  <c r="L113" i="14" s="1"/>
  <c r="L18" i="14"/>
  <c r="L100" i="14" s="1"/>
  <c r="L24" i="14"/>
  <c r="L118" i="14" s="1"/>
  <c r="L16" i="14"/>
  <c r="L94" i="14" s="1"/>
  <c r="L23" i="14"/>
  <c r="L115" i="14" s="1"/>
  <c r="L25" i="14"/>
  <c r="L121" i="14" s="1"/>
  <c r="L20" i="14"/>
  <c r="L106" i="14" s="1"/>
  <c r="L27" i="14"/>
  <c r="L127" i="14" s="1"/>
  <c r="L29" i="14"/>
  <c r="L133" i="14" s="1"/>
  <c r="L32" i="14"/>
  <c r="L142" i="14" s="1"/>
  <c r="L21" i="14"/>
  <c r="L109" i="14" s="1"/>
  <c r="L19" i="14"/>
  <c r="L103" i="14" s="1"/>
  <c r="L34" i="14"/>
  <c r="L148" i="14" s="1"/>
  <c r="L15" i="14"/>
  <c r="L91" i="14" s="1"/>
  <c r="L33" i="14"/>
  <c r="L145" i="14" s="1"/>
  <c r="L22" i="14"/>
  <c r="L112" i="14" s="1"/>
  <c r="L28" i="14"/>
  <c r="L130" i="14" s="1"/>
  <c r="L30" i="14"/>
  <c r="L136" i="14" s="1"/>
  <c r="L26" i="14"/>
  <c r="L124" i="14" s="1"/>
  <c r="L17" i="14"/>
  <c r="L97" i="14" s="1"/>
  <c r="L52" i="14"/>
  <c r="L125" i="14" s="1"/>
  <c r="B166" i="8" l="1"/>
  <c r="A11" i="3" s="1"/>
  <c r="A167" i="8"/>
  <c r="A168" i="8" l="1"/>
  <c r="B167" i="8"/>
  <c r="A12" i="3" s="1"/>
  <c r="A169" i="8" l="1"/>
  <c r="B168" i="8"/>
  <c r="A13" i="3" s="1"/>
  <c r="A170" i="8" l="1"/>
  <c r="B169" i="8"/>
  <c r="A14" i="3" s="1"/>
  <c r="A171" i="8" l="1"/>
  <c r="B170" i="8"/>
  <c r="A15" i="3" s="1"/>
  <c r="A172" i="8" l="1"/>
  <c r="B171" i="8"/>
  <c r="A16" i="3" s="1"/>
  <c r="B172" i="8" l="1"/>
  <c r="A17" i="3" s="1"/>
  <c r="A173" i="8"/>
  <c r="A174" i="8" l="1"/>
  <c r="B173" i="8"/>
  <c r="B3" i="3" s="1"/>
  <c r="B174" i="8" l="1"/>
  <c r="B4" i="3" s="1"/>
  <c r="A175" i="8"/>
  <c r="A176" i="8" l="1"/>
  <c r="B175" i="8"/>
  <c r="B5" i="3" s="1"/>
  <c r="B176" i="8" l="1"/>
  <c r="B6" i="3" s="1"/>
  <c r="A177" i="8"/>
  <c r="A178" i="8" l="1"/>
  <c r="B177" i="8"/>
  <c r="B7" i="3" s="1"/>
  <c r="C5" i="4" l="1"/>
  <c r="B16" i="2" s="1"/>
  <c r="B178" i="8"/>
  <c r="A179" i="8"/>
  <c r="A180" i="8" s="1"/>
  <c r="B5" i="4" l="1"/>
  <c r="O18" i="8" s="1"/>
  <c r="C2" i="3"/>
  <c r="B179" i="8"/>
  <c r="B19" i="4" l="1"/>
  <c r="C19" i="4" s="1"/>
  <c r="B180" i="8"/>
  <c r="A181" i="8"/>
  <c r="D19" i="4" l="1"/>
  <c r="B5" i="6"/>
  <c r="G4" i="3"/>
  <c r="A18" i="9"/>
  <c r="A182" i="8"/>
  <c r="A183" i="8" s="1"/>
  <c r="B181" i="8"/>
  <c r="G5" i="3" l="1"/>
  <c r="A19" i="9"/>
  <c r="B182" i="8"/>
  <c r="G6" i="3" l="1"/>
  <c r="A20" i="9"/>
  <c r="A184" i="8"/>
  <c r="B183" i="8"/>
  <c r="I10" i="9" l="1"/>
  <c r="I9" i="9"/>
  <c r="A5" i="9"/>
  <c r="I8" i="9"/>
  <c r="I4" i="3"/>
  <c r="B184" i="8"/>
  <c r="A185" i="8"/>
  <c r="I13" i="9" l="1"/>
  <c r="I12" i="9"/>
  <c r="I11" i="9"/>
  <c r="A6" i="9"/>
  <c r="I5" i="3"/>
  <c r="A186" i="8"/>
  <c r="B185" i="8"/>
  <c r="B186" i="8" l="1"/>
  <c r="A187" i="8"/>
  <c r="E4" i="3" l="1"/>
  <c r="E2" i="3"/>
  <c r="A188" i="8"/>
  <c r="B187" i="8"/>
  <c r="A17" i="9" s="1"/>
  <c r="B42" i="9" l="1"/>
  <c r="C42" i="9"/>
  <c r="C44" i="9"/>
  <c r="B44" i="9"/>
  <c r="G3" i="3"/>
  <c r="G2" i="3"/>
  <c r="B188" i="8"/>
  <c r="A189" i="8"/>
  <c r="I7" i="9" l="1"/>
  <c r="I6" i="9"/>
  <c r="A4" i="9"/>
  <c r="N17" i="8" s="1"/>
  <c r="I5" i="9"/>
  <c r="I3" i="3"/>
  <c r="I2" i="3"/>
  <c r="A190" i="8"/>
  <c r="B189" i="8"/>
  <c r="B190" i="8" l="1"/>
  <c r="A10" i="9" s="1"/>
  <c r="A191" i="8"/>
  <c r="B3" i="7" l="1"/>
  <c r="B8" i="7" s="1"/>
  <c r="B53" i="7"/>
  <c r="A192" i="8"/>
  <c r="B191" i="8"/>
  <c r="A11" i="9" s="1"/>
  <c r="F3" i="7" l="1"/>
  <c r="C13" i="10" s="1"/>
  <c r="B4" i="7"/>
  <c r="B12" i="7" s="1"/>
  <c r="F12" i="7" s="1"/>
  <c r="C22" i="10" s="1"/>
  <c r="B54" i="7"/>
  <c r="F8" i="7"/>
  <c r="B9" i="7"/>
  <c r="B192" i="8"/>
  <c r="A12" i="9" s="1"/>
  <c r="A193" i="8"/>
  <c r="C18" i="10" l="1"/>
  <c r="F4" i="7"/>
  <c r="B5" i="7"/>
  <c r="B16" i="7" s="1"/>
  <c r="F16" i="7" s="1"/>
  <c r="C26" i="10" s="1"/>
  <c r="B55" i="7"/>
  <c r="F9" i="7"/>
  <c r="B28" i="7"/>
  <c r="F28" i="7" s="1"/>
  <c r="B10" i="7"/>
  <c r="B13" i="7"/>
  <c r="F13" i="7" s="1"/>
  <c r="C23" i="10" s="1"/>
  <c r="A194" i="8"/>
  <c r="B193" i="8"/>
  <c r="A13" i="9" s="1"/>
  <c r="F10" i="7" l="1"/>
  <c r="B11" i="7"/>
  <c r="F11" i="7" s="1"/>
  <c r="C21" i="10" s="1"/>
  <c r="C38" i="10"/>
  <c r="C14" i="10"/>
  <c r="C20" i="10"/>
  <c r="C19" i="10"/>
  <c r="F5" i="7"/>
  <c r="B6" i="7"/>
  <c r="F6" i="7" s="1"/>
  <c r="B56" i="7"/>
  <c r="B29" i="7"/>
  <c r="F29" i="7" s="1"/>
  <c r="B14" i="7"/>
  <c r="B17" i="7"/>
  <c r="F17" i="7" s="1"/>
  <c r="C27" i="10" s="1"/>
  <c r="B194" i="8"/>
  <c r="A14" i="9" s="1"/>
  <c r="B24" i="9" s="1"/>
  <c r="A195" i="8"/>
  <c r="B15" i="7" l="1"/>
  <c r="F15" i="7" s="1"/>
  <c r="C25" i="10" s="1"/>
  <c r="F14" i="7"/>
  <c r="C24" i="10" s="1"/>
  <c r="C16" i="10"/>
  <c r="C39" i="10"/>
  <c r="B20" i="7"/>
  <c r="F20" i="7" s="1"/>
  <c r="C30" i="10" s="1"/>
  <c r="C15" i="10"/>
  <c r="B7" i="7"/>
  <c r="F7" i="7" s="1"/>
  <c r="B57" i="7"/>
  <c r="B18" i="7"/>
  <c r="B30" i="7"/>
  <c r="F30" i="7" s="1"/>
  <c r="A196" i="8"/>
  <c r="B195" i="8"/>
  <c r="C4" i="10" s="1"/>
  <c r="F18" i="7" l="1"/>
  <c r="C28" i="10" s="1"/>
  <c r="B19" i="7"/>
  <c r="F19" i="7" s="1"/>
  <c r="C29" i="10" s="1"/>
  <c r="H5" i="7"/>
  <c r="B24" i="7"/>
  <c r="B63" i="5"/>
  <c r="B61" i="5"/>
  <c r="B64" i="5"/>
  <c r="B62" i="5"/>
  <c r="H3" i="7"/>
  <c r="H4" i="7"/>
  <c r="C17" i="10"/>
  <c r="H12" i="7" s="1"/>
  <c r="C40" i="10"/>
  <c r="B21" i="7"/>
  <c r="F21" i="7" s="1"/>
  <c r="C31" i="10" s="1"/>
  <c r="H6" i="7"/>
  <c r="C73" i="2"/>
  <c r="E94" i="2"/>
  <c r="E77" i="2"/>
  <c r="D87" i="2"/>
  <c r="D77" i="2"/>
  <c r="B62" i="4"/>
  <c r="E90" i="2"/>
  <c r="D90" i="2"/>
  <c r="E73" i="2"/>
  <c r="D73" i="2"/>
  <c r="E87" i="2"/>
  <c r="C90" i="2"/>
  <c r="C94" i="2"/>
  <c r="D94" i="2"/>
  <c r="D62" i="4"/>
  <c r="C62" i="4"/>
  <c r="C87" i="2"/>
  <c r="C77" i="2"/>
  <c r="A197" i="8"/>
  <c r="B196" i="8"/>
  <c r="D50" i="2" s="1"/>
  <c r="B25" i="7" l="1"/>
  <c r="F25" i="7" s="1"/>
  <c r="C35" i="10" s="1"/>
  <c r="F24" i="7"/>
  <c r="C34" i="10" s="1"/>
  <c r="D70" i="4"/>
  <c r="H9" i="7"/>
  <c r="H18" i="7"/>
  <c r="H10" i="7"/>
  <c r="B22" i="7"/>
  <c r="B31" i="7"/>
  <c r="F31" i="7" s="1"/>
  <c r="C41" i="10" s="1"/>
  <c r="H14" i="7"/>
  <c r="H17" i="7"/>
  <c r="H13" i="7"/>
  <c r="H7" i="7"/>
  <c r="H8" i="7"/>
  <c r="H16" i="7"/>
  <c r="H20" i="7"/>
  <c r="N45" i="14"/>
  <c r="N104" i="14" s="1"/>
  <c r="N55" i="14"/>
  <c r="N134" i="14" s="1"/>
  <c r="N42" i="14"/>
  <c r="N95" i="14" s="1"/>
  <c r="N53" i="14"/>
  <c r="N128" i="14" s="1"/>
  <c r="N44" i="14"/>
  <c r="N101" i="14" s="1"/>
  <c r="N47" i="14"/>
  <c r="N110" i="14" s="1"/>
  <c r="N60" i="14"/>
  <c r="N149" i="14" s="1"/>
  <c r="N49" i="14"/>
  <c r="N116" i="14" s="1"/>
  <c r="N59" i="14"/>
  <c r="N146" i="14" s="1"/>
  <c r="N43" i="14"/>
  <c r="N98" i="14" s="1"/>
  <c r="N48" i="14"/>
  <c r="N113" i="14" s="1"/>
  <c r="N52" i="14"/>
  <c r="N125" i="14" s="1"/>
  <c r="N50" i="14"/>
  <c r="N119" i="14" s="1"/>
  <c r="N54" i="14"/>
  <c r="N131" i="14" s="1"/>
  <c r="N46" i="14"/>
  <c r="N107" i="14" s="1"/>
  <c r="N41" i="14"/>
  <c r="N92" i="14" s="1"/>
  <c r="N58" i="14"/>
  <c r="N143" i="14" s="1"/>
  <c r="N57" i="14"/>
  <c r="N140" i="14" s="1"/>
  <c r="N51" i="14"/>
  <c r="N122" i="14" s="1"/>
  <c r="N56" i="14"/>
  <c r="N137" i="14" s="1"/>
  <c r="N20" i="14"/>
  <c r="N106" i="14" s="1"/>
  <c r="N26" i="14"/>
  <c r="N124" i="14" s="1"/>
  <c r="N24" i="14"/>
  <c r="N118" i="14" s="1"/>
  <c r="N16" i="14"/>
  <c r="N94" i="14" s="1"/>
  <c r="N19" i="14"/>
  <c r="N103" i="14" s="1"/>
  <c r="N34" i="14"/>
  <c r="N148" i="14" s="1"/>
  <c r="N31" i="14"/>
  <c r="N139" i="14" s="1"/>
  <c r="N17" i="14"/>
  <c r="N97" i="14" s="1"/>
  <c r="N28" i="14"/>
  <c r="N130" i="14" s="1"/>
  <c r="N23" i="14"/>
  <c r="N115" i="14" s="1"/>
  <c r="N32" i="14"/>
  <c r="N142" i="14" s="1"/>
  <c r="N25" i="14"/>
  <c r="N121" i="14" s="1"/>
  <c r="N30" i="14"/>
  <c r="N136" i="14" s="1"/>
  <c r="N29" i="14"/>
  <c r="N133" i="14" s="1"/>
  <c r="N15" i="14"/>
  <c r="N91" i="14" s="1"/>
  <c r="N21" i="14"/>
  <c r="N109" i="14" s="1"/>
  <c r="N22" i="14"/>
  <c r="N112" i="14" s="1"/>
  <c r="N27" i="14"/>
  <c r="N127" i="14" s="1"/>
  <c r="N33" i="14"/>
  <c r="N145" i="14" s="1"/>
  <c r="N18" i="14"/>
  <c r="N100" i="14" s="1"/>
  <c r="N79" i="14"/>
  <c r="N129" i="14" s="1"/>
  <c r="N73" i="14"/>
  <c r="N111" i="14" s="1"/>
  <c r="N82" i="14"/>
  <c r="N138" i="14" s="1"/>
  <c r="N72" i="14"/>
  <c r="N108" i="14" s="1"/>
  <c r="N76" i="14"/>
  <c r="N120" i="14" s="1"/>
  <c r="N83" i="14"/>
  <c r="N141" i="14" s="1"/>
  <c r="N77" i="14"/>
  <c r="N123" i="14" s="1"/>
  <c r="N86" i="14"/>
  <c r="N150" i="14" s="1"/>
  <c r="N74" i="14"/>
  <c r="N114" i="14" s="1"/>
  <c r="N68" i="14"/>
  <c r="N96" i="14" s="1"/>
  <c r="N81" i="14"/>
  <c r="N135" i="14" s="1"/>
  <c r="N67" i="14"/>
  <c r="N93" i="14" s="1"/>
  <c r="N80" i="14"/>
  <c r="N132" i="14" s="1"/>
  <c r="N70" i="14"/>
  <c r="N102" i="14" s="1"/>
  <c r="N71" i="14"/>
  <c r="N105" i="14" s="1"/>
  <c r="N75" i="14"/>
  <c r="N117" i="14" s="1"/>
  <c r="N69" i="14"/>
  <c r="N99" i="14" s="1"/>
  <c r="N85" i="14"/>
  <c r="N147" i="14" s="1"/>
  <c r="N84" i="14"/>
  <c r="N144" i="14" s="1"/>
  <c r="N78" i="14"/>
  <c r="N126" i="14" s="1"/>
  <c r="H21" i="7"/>
  <c r="A198" i="8"/>
  <c r="B197" i="8"/>
  <c r="B23" i="2" s="1"/>
  <c r="B26" i="7" l="1"/>
  <c r="B27" i="7" s="1"/>
  <c r="F27" i="7" s="1"/>
  <c r="C37" i="10" s="1"/>
  <c r="B23" i="7"/>
  <c r="F23" i="7" s="1"/>
  <c r="C33" i="10" s="1"/>
  <c r="F22" i="7"/>
  <c r="C32" i="10" s="1"/>
  <c r="D71" i="4"/>
  <c r="D72" i="4" s="1"/>
  <c r="A199" i="8"/>
  <c r="B198" i="8"/>
  <c r="C3" i="12" s="1"/>
  <c r="H24" i="7" l="1"/>
  <c r="F26" i="7"/>
  <c r="C36" i="10" s="1"/>
  <c r="H30" i="7" s="1"/>
  <c r="H22" i="7"/>
  <c r="B32" i="7"/>
  <c r="F32" i="7" s="1"/>
  <c r="D74" i="4"/>
  <c r="D46" i="2" s="1"/>
  <c r="Q13" i="8"/>
  <c r="H31" i="7"/>
  <c r="H28" i="7"/>
  <c r="H25" i="7"/>
  <c r="B3" i="4"/>
  <c r="B3" i="6"/>
  <c r="H26" i="7"/>
  <c r="A200" i="8"/>
  <c r="B199" i="8"/>
  <c r="C5" i="12" s="1"/>
  <c r="B11" i="6" l="1"/>
  <c r="B27" i="6"/>
  <c r="C4" i="3"/>
  <c r="C3" i="3"/>
  <c r="H2" i="8"/>
  <c r="H3" i="8"/>
  <c r="D11" i="6"/>
  <c r="D55" i="4" s="1"/>
  <c r="C11" i="6"/>
  <c r="C55" i="4" s="1"/>
  <c r="C42" i="10"/>
  <c r="H27" i="7" s="1"/>
  <c r="B25" i="6"/>
  <c r="C10" i="6"/>
  <c r="D19" i="6"/>
  <c r="D10" i="6"/>
  <c r="B24" i="6"/>
  <c r="B19" i="6"/>
  <c r="B20" i="6" s="1"/>
  <c r="B26" i="6"/>
  <c r="B10" i="6"/>
  <c r="D29" i="4"/>
  <c r="B29" i="4"/>
  <c r="B34" i="4" s="1"/>
  <c r="B200" i="8"/>
  <c r="A201" i="8"/>
  <c r="B55" i="4" l="1"/>
  <c r="B76" i="4" s="1"/>
  <c r="C83" i="2" s="1"/>
  <c r="B14" i="6"/>
  <c r="D14" i="6"/>
  <c r="H19" i="7"/>
  <c r="H23" i="7"/>
  <c r="H11" i="7"/>
  <c r="H15" i="7"/>
  <c r="C14" i="6"/>
  <c r="C17" i="6" s="1"/>
  <c r="H29" i="7"/>
  <c r="C6" i="12"/>
  <c r="B1" i="11"/>
  <c r="H32" i="7"/>
  <c r="E88" i="2"/>
  <c r="D28" i="4"/>
  <c r="B54" i="4"/>
  <c r="E24" i="6"/>
  <c r="F24" i="6"/>
  <c r="D20" i="6"/>
  <c r="D54" i="4"/>
  <c r="B80" i="4"/>
  <c r="G34" i="2" s="1"/>
  <c r="B36" i="4"/>
  <c r="B28" i="4"/>
  <c r="C88" i="2"/>
  <c r="C54" i="4"/>
  <c r="A202" i="8"/>
  <c r="B201" i="8"/>
  <c r="B81" i="4" l="1"/>
  <c r="B82" i="4" s="1"/>
  <c r="O14" i="8" s="1"/>
  <c r="D77" i="4"/>
  <c r="E85" i="2" s="1"/>
  <c r="D90" i="4"/>
  <c r="D91" i="4" s="1"/>
  <c r="D93" i="4" s="1"/>
  <c r="D95" i="4" s="1"/>
  <c r="D96" i="4" s="1"/>
  <c r="H44" i="2" s="1"/>
  <c r="H47" i="2" s="1"/>
  <c r="E93" i="2" s="1"/>
  <c r="D57" i="4"/>
  <c r="C18" i="6"/>
  <c r="C19" i="6" s="1"/>
  <c r="C20" i="6" s="1"/>
  <c r="C25" i="4"/>
  <c r="F22" i="2" s="1"/>
  <c r="C90" i="4"/>
  <c r="C91" i="4" s="1"/>
  <c r="C93" i="4" s="1"/>
  <c r="C95" i="4" s="1"/>
  <c r="C96" i="4" s="1"/>
  <c r="G44" i="2" s="1"/>
  <c r="G47" i="2" s="1"/>
  <c r="D93" i="2" s="1"/>
  <c r="C57" i="4"/>
  <c r="F26" i="6"/>
  <c r="F25" i="6"/>
  <c r="D30" i="4"/>
  <c r="G23" i="2" s="1"/>
  <c r="E26" i="6"/>
  <c r="D25" i="4"/>
  <c r="G22" i="2" s="1"/>
  <c r="E25" i="6"/>
  <c r="F13" i="14"/>
  <c r="B13" i="5"/>
  <c r="B65" i="4" s="1"/>
  <c r="C67" i="2" s="1"/>
  <c r="B105" i="4"/>
  <c r="E17" i="2" s="1"/>
  <c r="C72" i="2"/>
  <c r="C75" i="2"/>
  <c r="B50" i="4"/>
  <c r="B37" i="4"/>
  <c r="E15" i="2" s="1"/>
  <c r="B57" i="4"/>
  <c r="B75" i="4"/>
  <c r="C82" i="2" s="1"/>
  <c r="D28" i="2"/>
  <c r="E53" i="2"/>
  <c r="E67" i="13"/>
  <c r="D105" i="4"/>
  <c r="G17" i="2" s="1"/>
  <c r="E72" i="2"/>
  <c r="B202" i="8"/>
  <c r="A203" i="8"/>
  <c r="M44" i="14" l="1"/>
  <c r="M101" i="14" s="1"/>
  <c r="M43" i="14"/>
  <c r="M98" i="14" s="1"/>
  <c r="M47" i="14"/>
  <c r="M110" i="14" s="1"/>
  <c r="M55" i="14"/>
  <c r="M134" i="14" s="1"/>
  <c r="M60" i="14"/>
  <c r="M149" i="14" s="1"/>
  <c r="M58" i="14"/>
  <c r="M143" i="14" s="1"/>
  <c r="M52" i="14"/>
  <c r="M125" i="14" s="1"/>
  <c r="M59" i="14"/>
  <c r="M146" i="14" s="1"/>
  <c r="M46" i="14"/>
  <c r="M107" i="14" s="1"/>
  <c r="M51" i="14"/>
  <c r="M122" i="14" s="1"/>
  <c r="M50" i="14"/>
  <c r="M119" i="14" s="1"/>
  <c r="M45" i="14"/>
  <c r="M104" i="14" s="1"/>
  <c r="M48" i="14"/>
  <c r="M113" i="14" s="1"/>
  <c r="M42" i="14"/>
  <c r="M95" i="14" s="1"/>
  <c r="M41" i="14"/>
  <c r="M92" i="14" s="1"/>
  <c r="M54" i="14"/>
  <c r="M131" i="14" s="1"/>
  <c r="M49" i="14"/>
  <c r="M116" i="14" s="1"/>
  <c r="M57" i="14"/>
  <c r="M140" i="14" s="1"/>
  <c r="M53" i="14"/>
  <c r="M128" i="14" s="1"/>
  <c r="M56" i="14"/>
  <c r="M137" i="14" s="1"/>
  <c r="M82" i="14"/>
  <c r="M138" i="14" s="1"/>
  <c r="M81" i="14"/>
  <c r="M135" i="14" s="1"/>
  <c r="M78" i="14"/>
  <c r="M126" i="14" s="1"/>
  <c r="M68" i="14"/>
  <c r="M96" i="14" s="1"/>
  <c r="M86" i="14"/>
  <c r="M150" i="14" s="1"/>
  <c r="M70" i="14"/>
  <c r="M102" i="14" s="1"/>
  <c r="M67" i="14"/>
  <c r="M93" i="14" s="1"/>
  <c r="M83" i="14"/>
  <c r="M141" i="14" s="1"/>
  <c r="M73" i="14"/>
  <c r="M111" i="14" s="1"/>
  <c r="M69" i="14"/>
  <c r="M99" i="14" s="1"/>
  <c r="M76" i="14"/>
  <c r="M120" i="14" s="1"/>
  <c r="M79" i="14"/>
  <c r="M129" i="14" s="1"/>
  <c r="M85" i="14"/>
  <c r="M147" i="14" s="1"/>
  <c r="M74" i="14"/>
  <c r="M114" i="14" s="1"/>
  <c r="M71" i="14"/>
  <c r="M105" i="14" s="1"/>
  <c r="M84" i="14"/>
  <c r="M144" i="14" s="1"/>
  <c r="M80" i="14"/>
  <c r="M132" i="14" s="1"/>
  <c r="M72" i="14"/>
  <c r="M108" i="14" s="1"/>
  <c r="M77" i="14"/>
  <c r="M123" i="14" s="1"/>
  <c r="M75" i="14"/>
  <c r="M117" i="14" s="1"/>
  <c r="C21" i="4"/>
  <c r="C26" i="4" s="1"/>
  <c r="C27" i="4" s="1"/>
  <c r="D31" i="4"/>
  <c r="D32" i="4" s="1"/>
  <c r="B38" i="4"/>
  <c r="B39" i="4" s="1"/>
  <c r="D21" i="4"/>
  <c r="D26" i="4" s="1"/>
  <c r="F15" i="14"/>
  <c r="C61" i="4"/>
  <c r="D66" i="2" s="1"/>
  <c r="C63" i="4"/>
  <c r="C60" i="4"/>
  <c r="D65" i="2" s="1"/>
  <c r="D15" i="4"/>
  <c r="D106" i="4"/>
  <c r="D107" i="4" s="1"/>
  <c r="E85" i="13"/>
  <c r="E95" i="13"/>
  <c r="E83" i="13"/>
  <c r="E76" i="13"/>
  <c r="E78" i="13"/>
  <c r="E81" i="13"/>
  <c r="E88" i="13"/>
  <c r="E84" i="13"/>
  <c r="E86" i="13"/>
  <c r="E89" i="13"/>
  <c r="E92" i="13"/>
  <c r="E94" i="13"/>
  <c r="E82" i="13"/>
  <c r="E93" i="13"/>
  <c r="E80" i="13"/>
  <c r="E91" i="13"/>
  <c r="E69" i="13"/>
  <c r="E70" i="13"/>
  <c r="E96" i="13"/>
  <c r="E79" i="13"/>
  <c r="E77" i="13"/>
  <c r="E87" i="13"/>
  <c r="E75" i="13"/>
  <c r="E74" i="13"/>
  <c r="E72" i="13"/>
  <c r="E68" i="13"/>
  <c r="E71" i="13"/>
  <c r="E90" i="13"/>
  <c r="E73" i="13"/>
  <c r="B106" i="4"/>
  <c r="B107" i="4" s="1"/>
  <c r="B15" i="4"/>
  <c r="F38" i="14"/>
  <c r="G31" i="14"/>
  <c r="G28" i="14"/>
  <c r="G16" i="14"/>
  <c r="G25" i="14"/>
  <c r="G32" i="14"/>
  <c r="G27" i="14"/>
  <c r="G19" i="14"/>
  <c r="G29" i="14"/>
  <c r="G26" i="14"/>
  <c r="G23" i="14"/>
  <c r="G33" i="14"/>
  <c r="G18" i="14"/>
  <c r="F22" i="14"/>
  <c r="G24" i="14"/>
  <c r="G21" i="14"/>
  <c r="G22" i="14"/>
  <c r="G20" i="14"/>
  <c r="G30" i="14"/>
  <c r="G17" i="14"/>
  <c r="G15" i="14"/>
  <c r="F29" i="14"/>
  <c r="G34" i="14"/>
  <c r="I75" i="14"/>
  <c r="I85" i="14"/>
  <c r="I76" i="14"/>
  <c r="I79" i="14"/>
  <c r="I83" i="14"/>
  <c r="I77" i="14"/>
  <c r="I71" i="14"/>
  <c r="I84" i="14"/>
  <c r="I81" i="14"/>
  <c r="D60" i="4"/>
  <c r="E65" i="2" s="1"/>
  <c r="I70" i="14"/>
  <c r="I80" i="14"/>
  <c r="I78" i="14"/>
  <c r="I72" i="14"/>
  <c r="D63" i="4"/>
  <c r="D61" i="4"/>
  <c r="E66" i="2" s="1"/>
  <c r="I74" i="14"/>
  <c r="I68" i="14"/>
  <c r="I86" i="14"/>
  <c r="I67" i="14"/>
  <c r="I82" i="14"/>
  <c r="I138" i="14" s="1"/>
  <c r="I69" i="14"/>
  <c r="I99" i="14" s="1"/>
  <c r="I73" i="14"/>
  <c r="B61" i="4"/>
  <c r="C66" i="2" s="1"/>
  <c r="B63" i="4"/>
  <c r="B66" i="4" s="1"/>
  <c r="B67" i="4" s="1"/>
  <c r="C86" i="2" s="1"/>
  <c r="B60" i="4"/>
  <c r="C65" i="2" s="1"/>
  <c r="A204" i="8"/>
  <c r="B203" i="8"/>
  <c r="I144" i="14" l="1"/>
  <c r="I105" i="14"/>
  <c r="I129" i="14"/>
  <c r="I150" i="14"/>
  <c r="I111" i="14"/>
  <c r="I102" i="14"/>
  <c r="I114" i="14"/>
  <c r="I135" i="14"/>
  <c r="I126" i="14"/>
  <c r="I93" i="14"/>
  <c r="I120" i="14"/>
  <c r="I123" i="14"/>
  <c r="I141" i="14"/>
  <c r="I117" i="14"/>
  <c r="I132" i="14"/>
  <c r="I147" i="14"/>
  <c r="Q5" i="8"/>
  <c r="G14" i="13"/>
  <c r="G19" i="13" s="1"/>
  <c r="O3" i="8"/>
  <c r="C81" i="2"/>
  <c r="C74" i="2"/>
  <c r="C78" i="2" s="1"/>
  <c r="H32" i="14" s="1"/>
  <c r="D33" i="4"/>
  <c r="G67" i="13"/>
  <c r="G73" i="13" s="1"/>
  <c r="H73" i="13" s="1"/>
  <c r="Q6" i="8"/>
  <c r="B32" i="6"/>
  <c r="B33" i="6" s="1"/>
  <c r="B34" i="6" s="1"/>
  <c r="B35" i="6" s="1"/>
  <c r="F21" i="2" s="1"/>
  <c r="P5" i="8"/>
  <c r="C29" i="4"/>
  <c r="F14" i="13"/>
  <c r="F21" i="13" s="1"/>
  <c r="I17" i="14"/>
  <c r="I97" i="14" s="1"/>
  <c r="I30" i="14"/>
  <c r="I136" i="14" s="1"/>
  <c r="I21" i="14"/>
  <c r="I109" i="14" s="1"/>
  <c r="I26" i="14"/>
  <c r="I124" i="14" s="1"/>
  <c r="I32" i="14"/>
  <c r="I142" i="14" s="1"/>
  <c r="I28" i="14"/>
  <c r="I130" i="14" s="1"/>
  <c r="I34" i="14"/>
  <c r="I148" i="14" s="1"/>
  <c r="I31" i="14"/>
  <c r="I139" i="14" s="1"/>
  <c r="I15" i="14"/>
  <c r="I91" i="14" s="1"/>
  <c r="I18" i="14"/>
  <c r="I100" i="14" s="1"/>
  <c r="I24" i="14"/>
  <c r="I118" i="14" s="1"/>
  <c r="I29" i="14"/>
  <c r="I133" i="14" s="1"/>
  <c r="I20" i="14"/>
  <c r="I106" i="14" s="1"/>
  <c r="I27" i="14"/>
  <c r="I127" i="14" s="1"/>
  <c r="I19" i="14"/>
  <c r="I103" i="14" s="1"/>
  <c r="I23" i="14"/>
  <c r="I115" i="14" s="1"/>
  <c r="I22" i="14"/>
  <c r="I112" i="14" s="1"/>
  <c r="I25" i="14"/>
  <c r="I121" i="14" s="1"/>
  <c r="I33" i="14"/>
  <c r="I145" i="14" s="1"/>
  <c r="I16" i="14"/>
  <c r="I94" i="14" s="1"/>
  <c r="G112" i="14"/>
  <c r="G133" i="14"/>
  <c r="F64" i="14"/>
  <c r="F65" i="14" s="1"/>
  <c r="F39" i="14"/>
  <c r="Q16" i="8"/>
  <c r="E89" i="2"/>
  <c r="G109" i="14"/>
  <c r="G103" i="14"/>
  <c r="T73" i="14"/>
  <c r="I108" i="14"/>
  <c r="G148" i="14"/>
  <c r="G118" i="14"/>
  <c r="G127" i="14"/>
  <c r="O16" i="8"/>
  <c r="C89" i="2"/>
  <c r="G142" i="14"/>
  <c r="G91" i="14"/>
  <c r="G100" i="14"/>
  <c r="G121" i="14"/>
  <c r="G97" i="14"/>
  <c r="G145" i="14"/>
  <c r="G94" i="14"/>
  <c r="I96" i="14"/>
  <c r="T68" i="14"/>
  <c r="G136" i="14"/>
  <c r="G115" i="14"/>
  <c r="G130" i="14"/>
  <c r="G106" i="14"/>
  <c r="G124" i="14"/>
  <c r="G139" i="14"/>
  <c r="B204" i="8"/>
  <c r="A205" i="8"/>
  <c r="D34" i="4" l="1"/>
  <c r="D29" i="2" s="1"/>
  <c r="C34" i="4"/>
  <c r="C29" i="2" s="1"/>
  <c r="C7" i="12"/>
  <c r="C1" i="11"/>
  <c r="G23" i="13"/>
  <c r="F19" i="13"/>
  <c r="F22" i="13"/>
  <c r="C28" i="4"/>
  <c r="D53" i="2" s="1"/>
  <c r="G20" i="13"/>
  <c r="G24" i="13"/>
  <c r="G84" i="14" s="1"/>
  <c r="G144" i="14" s="1"/>
  <c r="G16" i="13"/>
  <c r="G15" i="13"/>
  <c r="G21" i="13"/>
  <c r="G22" i="13"/>
  <c r="G18" i="13"/>
  <c r="G17" i="13"/>
  <c r="H25" i="14"/>
  <c r="H121" i="14" s="1"/>
  <c r="H29" i="14"/>
  <c r="H133" i="14" s="1"/>
  <c r="H26" i="14"/>
  <c r="H124" i="14" s="1"/>
  <c r="H16" i="14"/>
  <c r="H94" i="14" s="1"/>
  <c r="H22" i="14"/>
  <c r="H112" i="14" s="1"/>
  <c r="H33" i="14"/>
  <c r="H145" i="14" s="1"/>
  <c r="D88" i="2"/>
  <c r="H24" i="14"/>
  <c r="H118" i="14" s="1"/>
  <c r="H19" i="14"/>
  <c r="H103" i="14" s="1"/>
  <c r="H27" i="14"/>
  <c r="H127" i="14" s="1"/>
  <c r="H17" i="14"/>
  <c r="H97" i="14" s="1"/>
  <c r="H31" i="14"/>
  <c r="H139" i="14" s="1"/>
  <c r="H30" i="14"/>
  <c r="H136" i="14" s="1"/>
  <c r="H18" i="14"/>
  <c r="H100" i="14" s="1"/>
  <c r="H23" i="14"/>
  <c r="H115" i="14" s="1"/>
  <c r="H15" i="14"/>
  <c r="H91" i="14" s="1"/>
  <c r="H34" i="14"/>
  <c r="H148" i="14" s="1"/>
  <c r="H21" i="14"/>
  <c r="H109" i="14" s="1"/>
  <c r="G69" i="13"/>
  <c r="H69" i="13" s="1"/>
  <c r="G75" i="13"/>
  <c r="H75" i="13" s="1"/>
  <c r="G72" i="13"/>
  <c r="H72" i="13" s="1"/>
  <c r="G88" i="13"/>
  <c r="H88" i="13" s="1"/>
  <c r="F23" i="13"/>
  <c r="G83" i="13"/>
  <c r="H83" i="13" s="1"/>
  <c r="F18" i="13"/>
  <c r="F17" i="13"/>
  <c r="G86" i="13"/>
  <c r="H86" i="13" s="1"/>
  <c r="G74" i="13"/>
  <c r="H74" i="13" s="1"/>
  <c r="F15" i="13"/>
  <c r="F20" i="13"/>
  <c r="G78" i="13"/>
  <c r="H78" i="13" s="1"/>
  <c r="G95" i="13"/>
  <c r="H95" i="13" s="1"/>
  <c r="G81" i="13"/>
  <c r="H81" i="13" s="1"/>
  <c r="F24" i="13"/>
  <c r="G60" i="14" s="1"/>
  <c r="G149" i="14" s="1"/>
  <c r="F16" i="13"/>
  <c r="G80" i="13"/>
  <c r="H80" i="13" s="1"/>
  <c r="G96" i="13"/>
  <c r="H96" i="13" s="1"/>
  <c r="G77" i="13"/>
  <c r="H77" i="13" s="1"/>
  <c r="G85" i="13"/>
  <c r="H85" i="13" s="1"/>
  <c r="G84" i="13"/>
  <c r="H84" i="13" s="1"/>
  <c r="G71" i="13"/>
  <c r="H71" i="13" s="1"/>
  <c r="G90" i="13"/>
  <c r="H90" i="13" s="1"/>
  <c r="G79" i="13"/>
  <c r="H79" i="13" s="1"/>
  <c r="H20" i="14"/>
  <c r="H106" i="14" s="1"/>
  <c r="H28" i="14"/>
  <c r="H130" i="14" s="1"/>
  <c r="G70" i="13"/>
  <c r="H70" i="13" s="1"/>
  <c r="G68" i="13"/>
  <c r="H68" i="13" s="1"/>
  <c r="G76" i="13"/>
  <c r="H76" i="13" s="1"/>
  <c r="G94" i="13"/>
  <c r="H94" i="13" s="1"/>
  <c r="G93" i="13"/>
  <c r="H93" i="13" s="1"/>
  <c r="G89" i="13"/>
  <c r="H89" i="13" s="1"/>
  <c r="G87" i="13"/>
  <c r="H87" i="13" s="1"/>
  <c r="G91" i="13"/>
  <c r="H91" i="13" s="1"/>
  <c r="G82" i="13"/>
  <c r="H82" i="13" s="1"/>
  <c r="G92" i="13"/>
  <c r="H92" i="13" s="1"/>
  <c r="C95" i="2"/>
  <c r="C102" i="2" s="1"/>
  <c r="J22" i="14"/>
  <c r="J112" i="14" s="1"/>
  <c r="J32" i="14"/>
  <c r="R32" i="14" s="1"/>
  <c r="J34" i="14"/>
  <c r="J148" i="14" s="1"/>
  <c r="J17" i="14"/>
  <c r="J26" i="14"/>
  <c r="J124" i="14" s="1"/>
  <c r="J21" i="14"/>
  <c r="J109" i="14" s="1"/>
  <c r="J20" i="14"/>
  <c r="J33" i="14"/>
  <c r="J145" i="14" s="1"/>
  <c r="J18" i="14"/>
  <c r="J29" i="14"/>
  <c r="J133" i="14" s="1"/>
  <c r="J19" i="14"/>
  <c r="J103" i="14" s="1"/>
  <c r="J30" i="14"/>
  <c r="J136" i="14" s="1"/>
  <c r="J16" i="14"/>
  <c r="J27" i="14"/>
  <c r="J127" i="14" s="1"/>
  <c r="J25" i="14"/>
  <c r="R25" i="14" s="1"/>
  <c r="J23" i="14"/>
  <c r="J24" i="14"/>
  <c r="J118" i="14" s="1"/>
  <c r="J28" i="14"/>
  <c r="J31" i="14"/>
  <c r="J139" i="14" s="1"/>
  <c r="J15" i="14"/>
  <c r="J91" i="14" s="1"/>
  <c r="J76" i="14"/>
  <c r="J120" i="14" s="1"/>
  <c r="J74" i="14"/>
  <c r="J114" i="14" s="1"/>
  <c r="J81" i="14"/>
  <c r="J135" i="14" s="1"/>
  <c r="J79" i="14"/>
  <c r="J129" i="14" s="1"/>
  <c r="J84" i="14"/>
  <c r="J144" i="14" s="1"/>
  <c r="J82" i="14"/>
  <c r="J138" i="14" s="1"/>
  <c r="J68" i="14"/>
  <c r="J80" i="14"/>
  <c r="J132" i="14" s="1"/>
  <c r="J72" i="14"/>
  <c r="J108" i="14" s="1"/>
  <c r="J86" i="14"/>
  <c r="J150" i="14" s="1"/>
  <c r="J77" i="14"/>
  <c r="J123" i="14" s="1"/>
  <c r="J85" i="14"/>
  <c r="J147" i="14" s="1"/>
  <c r="J75" i="14"/>
  <c r="J117" i="14" s="1"/>
  <c r="J71" i="14"/>
  <c r="J83" i="14"/>
  <c r="J141" i="14" s="1"/>
  <c r="J69" i="14"/>
  <c r="J99" i="14" s="1"/>
  <c r="J67" i="14"/>
  <c r="J78" i="14"/>
  <c r="J126" i="14" s="1"/>
  <c r="J73" i="14"/>
  <c r="J111" i="14" s="1"/>
  <c r="J70" i="14"/>
  <c r="G48" i="14"/>
  <c r="G113" i="14" s="1"/>
  <c r="C99" i="4"/>
  <c r="H142" i="14"/>
  <c r="A206" i="8"/>
  <c r="B205" i="8"/>
  <c r="D1" i="11" s="1"/>
  <c r="G52" i="14" l="1"/>
  <c r="G125" i="14" s="1"/>
  <c r="E7" i="12"/>
  <c r="C35" i="4"/>
  <c r="C36" i="4" s="1"/>
  <c r="D35" i="4"/>
  <c r="D36" i="4" s="1"/>
  <c r="D7" i="12"/>
  <c r="F7" i="12"/>
  <c r="C8" i="12"/>
  <c r="E8" i="12" s="1"/>
  <c r="G53" i="14"/>
  <c r="G128" i="14" s="1"/>
  <c r="G51" i="14"/>
  <c r="G122" i="14" s="1"/>
  <c r="G50" i="14"/>
  <c r="G119" i="14" s="1"/>
  <c r="G81" i="14"/>
  <c r="G135" i="14" s="1"/>
  <c r="G54" i="14"/>
  <c r="G131" i="14" s="1"/>
  <c r="F74" i="14"/>
  <c r="G49" i="14"/>
  <c r="G116" i="14" s="1"/>
  <c r="Q16" i="14"/>
  <c r="Q96" i="14" s="1"/>
  <c r="G65" i="14"/>
  <c r="C28" i="2"/>
  <c r="D72" i="2"/>
  <c r="C105" i="4"/>
  <c r="F17" i="2" s="1"/>
  <c r="G76" i="14"/>
  <c r="G120" i="14" s="1"/>
  <c r="G83" i="14"/>
  <c r="G141" i="14" s="1"/>
  <c r="G82" i="14"/>
  <c r="G138" i="14" s="1"/>
  <c r="G86" i="14"/>
  <c r="G150" i="14" s="1"/>
  <c r="G85" i="14"/>
  <c r="G147" i="14" s="1"/>
  <c r="Q23" i="14"/>
  <c r="Q116" i="14" s="1"/>
  <c r="G74" i="14"/>
  <c r="G114" i="14" s="1"/>
  <c r="Q18" i="14"/>
  <c r="Q101" i="14" s="1"/>
  <c r="G79" i="14"/>
  <c r="G129" i="14" s="1"/>
  <c r="G80" i="14"/>
  <c r="G132" i="14" s="1"/>
  <c r="G78" i="14"/>
  <c r="G126" i="14" s="1"/>
  <c r="G75" i="14"/>
  <c r="G117" i="14" s="1"/>
  <c r="G77" i="14"/>
  <c r="G123" i="14" s="1"/>
  <c r="Q17" i="14"/>
  <c r="Q98" i="14" s="1"/>
  <c r="G55" i="14"/>
  <c r="G134" i="14" s="1"/>
  <c r="F55" i="14"/>
  <c r="G58" i="14"/>
  <c r="G143" i="14" s="1"/>
  <c r="F81" i="14"/>
  <c r="G57" i="14"/>
  <c r="G140" i="14" s="1"/>
  <c r="R28" i="14"/>
  <c r="F48" i="14"/>
  <c r="G59" i="14"/>
  <c r="G146" i="14" s="1"/>
  <c r="G56" i="14"/>
  <c r="G137" i="14" s="1"/>
  <c r="G39" i="14"/>
  <c r="Q20" i="14"/>
  <c r="Q108" i="14" s="1"/>
  <c r="R33" i="14"/>
  <c r="R19" i="14"/>
  <c r="R21" i="14"/>
  <c r="R30" i="14"/>
  <c r="R15" i="14"/>
  <c r="R26" i="14"/>
  <c r="R27" i="14"/>
  <c r="R34" i="14"/>
  <c r="R29" i="14"/>
  <c r="Q29" i="14"/>
  <c r="Q134" i="14" s="1"/>
  <c r="Q21" i="14"/>
  <c r="Q27" i="14"/>
  <c r="R24" i="14"/>
  <c r="Q15" i="14"/>
  <c r="Q19" i="14"/>
  <c r="R22" i="14"/>
  <c r="J130" i="14"/>
  <c r="Q28" i="14"/>
  <c r="J142" i="14"/>
  <c r="Q32" i="14"/>
  <c r="Q30" i="14"/>
  <c r="Q31" i="14"/>
  <c r="Q22" i="14"/>
  <c r="R31" i="14"/>
  <c r="J121" i="14"/>
  <c r="Q25" i="14"/>
  <c r="Q24" i="14"/>
  <c r="Q26" i="14"/>
  <c r="Q34" i="14"/>
  <c r="Q33" i="14"/>
  <c r="J105" i="14"/>
  <c r="R18" i="14"/>
  <c r="J100" i="14"/>
  <c r="C100" i="4"/>
  <c r="C101" i="4" s="1"/>
  <c r="C22" i="4"/>
  <c r="B36" i="6" s="1"/>
  <c r="J102" i="14"/>
  <c r="R23" i="14"/>
  <c r="J115" i="14"/>
  <c r="C112" i="2"/>
  <c r="C104" i="2"/>
  <c r="C103" i="2"/>
  <c r="R20" i="14"/>
  <c r="J106" i="14"/>
  <c r="J93" i="14"/>
  <c r="R16" i="14"/>
  <c r="J94" i="14"/>
  <c r="R17" i="14"/>
  <c r="J97" i="14"/>
  <c r="J96" i="14"/>
  <c r="B206" i="8"/>
  <c r="E1" i="11" s="1"/>
  <c r="A207" i="8"/>
  <c r="C37" i="4" l="1"/>
  <c r="F15" i="2" s="1"/>
  <c r="D75" i="2"/>
  <c r="P7" i="8"/>
  <c r="B31" i="9"/>
  <c r="B45" i="9" s="1"/>
  <c r="B46" i="9" s="1"/>
  <c r="B32" i="9"/>
  <c r="E75" i="2"/>
  <c r="D37" i="4"/>
  <c r="G15" i="2" s="1"/>
  <c r="C31" i="9"/>
  <c r="C45" i="9" s="1"/>
  <c r="C46" i="9" s="1"/>
  <c r="Q7" i="8"/>
  <c r="C32" i="9"/>
  <c r="C33" i="9" s="1"/>
  <c r="C54" i="9" s="1"/>
  <c r="D46" i="4" s="1"/>
  <c r="Q8" i="8" s="1"/>
  <c r="D8" i="12"/>
  <c r="F8" i="12"/>
  <c r="C9" i="12"/>
  <c r="F9" i="12" s="1"/>
  <c r="C15" i="4"/>
  <c r="Q95" i="14"/>
  <c r="Q94" i="14"/>
  <c r="C106" i="4"/>
  <c r="C107" i="4" s="1"/>
  <c r="D89" i="2" s="1"/>
  <c r="Q107" i="14"/>
  <c r="Q102" i="14"/>
  <c r="Q117" i="14"/>
  <c r="Q115" i="14"/>
  <c r="Q100" i="14"/>
  <c r="Q106" i="14"/>
  <c r="Q99" i="14"/>
  <c r="Q97" i="14"/>
  <c r="Q127" i="14"/>
  <c r="Q128" i="14"/>
  <c r="Q129" i="14"/>
  <c r="Q109" i="14"/>
  <c r="Q110" i="14"/>
  <c r="Q111" i="14"/>
  <c r="Q135" i="14"/>
  <c r="Q133" i="14"/>
  <c r="Q145" i="14"/>
  <c r="Q146" i="14"/>
  <c r="Q147" i="14"/>
  <c r="Q114" i="14"/>
  <c r="Q112" i="14"/>
  <c r="Q113" i="14"/>
  <c r="Q149" i="14"/>
  <c r="Q150" i="14"/>
  <c r="Q148" i="14"/>
  <c r="Q139" i="14"/>
  <c r="Q141" i="14"/>
  <c r="Q140" i="14"/>
  <c r="Q105" i="14"/>
  <c r="Q104" i="14"/>
  <c r="Q103" i="14"/>
  <c r="Q124" i="14"/>
  <c r="Q126" i="14"/>
  <c r="Q125" i="14"/>
  <c r="Q137" i="14"/>
  <c r="Q138" i="14"/>
  <c r="Q136" i="14"/>
  <c r="Q93" i="14"/>
  <c r="Q91" i="14"/>
  <c r="Q92" i="14"/>
  <c r="Q119" i="14"/>
  <c r="Q120" i="14"/>
  <c r="Q118" i="14"/>
  <c r="Q144" i="14"/>
  <c r="Q142" i="14"/>
  <c r="Q143" i="14"/>
  <c r="Q122" i="14"/>
  <c r="Q123" i="14"/>
  <c r="Q121" i="14"/>
  <c r="Q131" i="14"/>
  <c r="Q130" i="14"/>
  <c r="Q132" i="14"/>
  <c r="B38" i="6"/>
  <c r="B40" i="6"/>
  <c r="B41" i="6" s="1"/>
  <c r="P4" i="8"/>
  <c r="B37" i="6"/>
  <c r="B55" i="6"/>
  <c r="C119" i="2"/>
  <c r="C117" i="2"/>
  <c r="C114" i="2"/>
  <c r="C113" i="2"/>
  <c r="C118" i="2"/>
  <c r="A208" i="8"/>
  <c r="B207" i="8"/>
  <c r="F1" i="11" s="1"/>
  <c r="B33" i="9" l="1"/>
  <c r="B54" i="9" s="1"/>
  <c r="B55" i="9" s="1"/>
  <c r="C47" i="4" s="1"/>
  <c r="P9" i="8" s="1"/>
  <c r="D38" i="4"/>
  <c r="D39" i="4" s="1"/>
  <c r="Q3" i="8" s="1"/>
  <c r="C38" i="4"/>
  <c r="C39" i="4" s="1"/>
  <c r="P3" i="8" s="1"/>
  <c r="C55" i="9"/>
  <c r="D47" i="4" s="1"/>
  <c r="Q9" i="8" s="1"/>
  <c r="E9" i="12"/>
  <c r="D9" i="12"/>
  <c r="C10" i="12"/>
  <c r="D10" i="12" s="1"/>
  <c r="P16" i="8"/>
  <c r="C120" i="2"/>
  <c r="C60" i="2" s="1"/>
  <c r="C61" i="2" s="1"/>
  <c r="J60" i="14"/>
  <c r="J149" i="14" s="1"/>
  <c r="J53" i="14"/>
  <c r="J128" i="14" s="1"/>
  <c r="J51" i="14"/>
  <c r="J122" i="14" s="1"/>
  <c r="J42" i="14"/>
  <c r="J95" i="14" s="1"/>
  <c r="J47" i="14"/>
  <c r="J110" i="14" s="1"/>
  <c r="J55" i="14"/>
  <c r="J134" i="14" s="1"/>
  <c r="J59" i="14"/>
  <c r="J146" i="14" s="1"/>
  <c r="J46" i="14"/>
  <c r="J107" i="14" s="1"/>
  <c r="J41" i="14"/>
  <c r="J92" i="14" s="1"/>
  <c r="J49" i="14"/>
  <c r="J116" i="14" s="1"/>
  <c r="J52" i="14"/>
  <c r="J125" i="14" s="1"/>
  <c r="J44" i="14"/>
  <c r="J101" i="14" s="1"/>
  <c r="J56" i="14"/>
  <c r="J137" i="14" s="1"/>
  <c r="J58" i="14"/>
  <c r="J143" i="14" s="1"/>
  <c r="J45" i="14"/>
  <c r="J104" i="14" s="1"/>
  <c r="J50" i="14"/>
  <c r="J119" i="14" s="1"/>
  <c r="J48" i="14"/>
  <c r="J113" i="14" s="1"/>
  <c r="J57" i="14"/>
  <c r="J140" i="14" s="1"/>
  <c r="J43" i="14"/>
  <c r="J98" i="14" s="1"/>
  <c r="J54" i="14"/>
  <c r="J131" i="14" s="1"/>
  <c r="D57" i="2"/>
  <c r="B44" i="6"/>
  <c r="B47" i="6" s="1"/>
  <c r="D99" i="2"/>
  <c r="C43" i="4"/>
  <c r="C36" i="2" s="1"/>
  <c r="D54" i="2"/>
  <c r="C70" i="4"/>
  <c r="C44" i="2" s="1"/>
  <c r="C40" i="4"/>
  <c r="C35" i="2" s="1"/>
  <c r="B208" i="8"/>
  <c r="G1" i="11" s="1"/>
  <c r="A209" i="8"/>
  <c r="C46" i="4" l="1"/>
  <c r="P8" i="8" s="1"/>
  <c r="D50" i="4"/>
  <c r="D32" i="2" s="1"/>
  <c r="C57" i="9"/>
  <c r="D49" i="4" s="1"/>
  <c r="H65" i="14" s="1"/>
  <c r="E10" i="12"/>
  <c r="F10" i="12"/>
  <c r="C11" i="12"/>
  <c r="F11" i="12" s="1"/>
  <c r="C41" i="4"/>
  <c r="C42" i="4" s="1"/>
  <c r="C44" i="4"/>
  <c r="C45" i="4" s="1"/>
  <c r="P11" i="8" s="1"/>
  <c r="C71" i="4"/>
  <c r="C72" i="4" s="1"/>
  <c r="P13" i="8" s="1"/>
  <c r="C62" i="2"/>
  <c r="B48" i="6"/>
  <c r="P42" i="14"/>
  <c r="P95" i="14" s="1"/>
  <c r="P44" i="14"/>
  <c r="P101" i="14" s="1"/>
  <c r="P59" i="14"/>
  <c r="P146" i="14" s="1"/>
  <c r="P41" i="14"/>
  <c r="P92" i="14" s="1"/>
  <c r="P56" i="14"/>
  <c r="P137" i="14" s="1"/>
  <c r="P53" i="14"/>
  <c r="P128" i="14" s="1"/>
  <c r="P50" i="14"/>
  <c r="P119" i="14" s="1"/>
  <c r="P58" i="14"/>
  <c r="P143" i="14" s="1"/>
  <c r="P47" i="14"/>
  <c r="P110" i="14" s="1"/>
  <c r="P49" i="14"/>
  <c r="P116" i="14" s="1"/>
  <c r="P46" i="14"/>
  <c r="P107" i="14" s="1"/>
  <c r="P60" i="14"/>
  <c r="P149" i="14" s="1"/>
  <c r="P51" i="14"/>
  <c r="P122" i="14" s="1"/>
  <c r="P57" i="14"/>
  <c r="P140" i="14" s="1"/>
  <c r="P55" i="14"/>
  <c r="P134" i="14" s="1"/>
  <c r="P54" i="14"/>
  <c r="P131" i="14" s="1"/>
  <c r="P45" i="14"/>
  <c r="P104" i="14" s="1"/>
  <c r="P43" i="14"/>
  <c r="P98" i="14" s="1"/>
  <c r="P48" i="14"/>
  <c r="P113" i="14" s="1"/>
  <c r="P52" i="14"/>
  <c r="P125" i="14" s="1"/>
  <c r="A210" i="8"/>
  <c r="B209" i="8"/>
  <c r="H1" i="11" s="1"/>
  <c r="C50" i="4" l="1"/>
  <c r="C32" i="2" s="1"/>
  <c r="F67" i="14"/>
  <c r="G72" i="14" s="1"/>
  <c r="E81" i="2"/>
  <c r="E95" i="2" s="1"/>
  <c r="E74" i="2"/>
  <c r="E78" i="2" s="1"/>
  <c r="H85" i="14" s="1"/>
  <c r="E11" i="12"/>
  <c r="D11" i="12"/>
  <c r="C12" i="12"/>
  <c r="E12" i="12" s="1"/>
  <c r="D81" i="2"/>
  <c r="D74" i="2"/>
  <c r="D78" i="2" s="1"/>
  <c r="H52" i="14" s="1"/>
  <c r="H125" i="14" s="1"/>
  <c r="P10" i="8"/>
  <c r="B48" i="9"/>
  <c r="B50" i="9" s="1"/>
  <c r="B51" i="9" s="1"/>
  <c r="B56" i="9" s="1"/>
  <c r="B57" i="9" s="1"/>
  <c r="C49" i="4" s="1"/>
  <c r="H39" i="14" s="1"/>
  <c r="C74" i="4"/>
  <c r="C46" i="2" s="1"/>
  <c r="G70" i="14"/>
  <c r="G67" i="14"/>
  <c r="G71" i="14"/>
  <c r="B52" i="6"/>
  <c r="B50" i="6"/>
  <c r="B49" i="6"/>
  <c r="B56" i="6"/>
  <c r="B210" i="8"/>
  <c r="I1" i="11" s="1"/>
  <c r="A211" i="8"/>
  <c r="F41" i="14" l="1"/>
  <c r="G47" i="14" s="1"/>
  <c r="G110" i="14" s="1"/>
  <c r="H80" i="14"/>
  <c r="R80" i="14" s="1"/>
  <c r="G69" i="14"/>
  <c r="H75" i="14"/>
  <c r="Q75" i="14" s="1"/>
  <c r="G73" i="14"/>
  <c r="H86" i="14"/>
  <c r="H150" i="14" s="1"/>
  <c r="H69" i="14"/>
  <c r="H68" i="14"/>
  <c r="H96" i="14" s="1"/>
  <c r="G68" i="14"/>
  <c r="H67" i="14"/>
  <c r="R67" i="14" s="1"/>
  <c r="E102" i="2"/>
  <c r="E104" i="2" s="1"/>
  <c r="H83" i="14"/>
  <c r="H141" i="14" s="1"/>
  <c r="H74" i="14"/>
  <c r="R74" i="14" s="1"/>
  <c r="H81" i="14"/>
  <c r="R81" i="14" s="1"/>
  <c r="H70" i="14"/>
  <c r="H76" i="14"/>
  <c r="Q76" i="14" s="1"/>
  <c r="H82" i="14"/>
  <c r="R82" i="14" s="1"/>
  <c r="H77" i="14"/>
  <c r="H123" i="14" s="1"/>
  <c r="H72" i="14"/>
  <c r="H71" i="14"/>
  <c r="Q71" i="14" s="1"/>
  <c r="H73" i="14"/>
  <c r="H111" i="14" s="1"/>
  <c r="H78" i="14"/>
  <c r="R78" i="14" s="1"/>
  <c r="H79" i="14"/>
  <c r="H84" i="14"/>
  <c r="R84" i="14" s="1"/>
  <c r="D12" i="12"/>
  <c r="F12" i="12"/>
  <c r="C13" i="12"/>
  <c r="F13" i="12" s="1"/>
  <c r="G42" i="14"/>
  <c r="G95" i="14" s="1"/>
  <c r="G46" i="14"/>
  <c r="G107" i="14" s="1"/>
  <c r="G43" i="14"/>
  <c r="G98" i="14" s="1"/>
  <c r="G44" i="14"/>
  <c r="G101" i="14" s="1"/>
  <c r="G41" i="14"/>
  <c r="G92" i="14" s="1"/>
  <c r="G45" i="14"/>
  <c r="G104" i="14" s="1"/>
  <c r="H42" i="14"/>
  <c r="H95" i="14" s="1"/>
  <c r="H58" i="14"/>
  <c r="H143" i="14" s="1"/>
  <c r="H59" i="14"/>
  <c r="H146" i="14" s="1"/>
  <c r="H53" i="14"/>
  <c r="H128" i="14" s="1"/>
  <c r="H47" i="14"/>
  <c r="H110" i="14" s="1"/>
  <c r="H44" i="14"/>
  <c r="H101" i="14" s="1"/>
  <c r="H48" i="14"/>
  <c r="H113" i="14" s="1"/>
  <c r="H55" i="14"/>
  <c r="H134" i="14" s="1"/>
  <c r="H49" i="14"/>
  <c r="H116" i="14" s="1"/>
  <c r="H56" i="14"/>
  <c r="H137" i="14" s="1"/>
  <c r="H50" i="14"/>
  <c r="H119" i="14" s="1"/>
  <c r="H60" i="14"/>
  <c r="H149" i="14" s="1"/>
  <c r="H41" i="14"/>
  <c r="H92" i="14" s="1"/>
  <c r="H46" i="14"/>
  <c r="H107" i="14" s="1"/>
  <c r="H43" i="14"/>
  <c r="H98" i="14" s="1"/>
  <c r="H54" i="14"/>
  <c r="H131" i="14" s="1"/>
  <c r="H57" i="14"/>
  <c r="H140" i="14" s="1"/>
  <c r="H45" i="14"/>
  <c r="H104" i="14" s="1"/>
  <c r="H51" i="14"/>
  <c r="H122" i="14" s="1"/>
  <c r="C48" i="4"/>
  <c r="P12" i="8" s="1"/>
  <c r="C77" i="4"/>
  <c r="D84" i="2" s="1"/>
  <c r="D95" i="2" s="1"/>
  <c r="G105" i="14"/>
  <c r="R68" i="14"/>
  <c r="H99" i="14"/>
  <c r="R69" i="14"/>
  <c r="H129" i="14"/>
  <c r="R79" i="14"/>
  <c r="Q79" i="14"/>
  <c r="Q85" i="14"/>
  <c r="H147" i="14"/>
  <c r="R85" i="14"/>
  <c r="G93" i="14"/>
  <c r="Q67" i="14"/>
  <c r="Q69" i="14"/>
  <c r="G99" i="14"/>
  <c r="H132" i="14"/>
  <c r="R72" i="14"/>
  <c r="H108" i="14"/>
  <c r="G102" i="14"/>
  <c r="Q70" i="14"/>
  <c r="H102" i="14"/>
  <c r="R70" i="14"/>
  <c r="Q72" i="14"/>
  <c r="G108" i="14"/>
  <c r="D108" i="2"/>
  <c r="D107" i="2"/>
  <c r="D109" i="2"/>
  <c r="D55" i="2"/>
  <c r="B51" i="6"/>
  <c r="D58" i="2" s="1"/>
  <c r="B57" i="6"/>
  <c r="D51" i="2" s="1"/>
  <c r="A212" i="8"/>
  <c r="B211" i="8"/>
  <c r="J1" i="11" s="1"/>
  <c r="H126" i="14" l="1"/>
  <c r="H135" i="14"/>
  <c r="Q86" i="14"/>
  <c r="E112" i="2"/>
  <c r="Q84" i="14"/>
  <c r="H117" i="14"/>
  <c r="H144" i="14"/>
  <c r="R71" i="14"/>
  <c r="R75" i="14"/>
  <c r="Q83" i="14"/>
  <c r="S139" i="14" s="1"/>
  <c r="Q81" i="14"/>
  <c r="S135" i="14" s="1"/>
  <c r="Q68" i="14"/>
  <c r="S96" i="14" s="1"/>
  <c r="E103" i="2"/>
  <c r="R73" i="14"/>
  <c r="H114" i="14"/>
  <c r="Q82" i="14"/>
  <c r="S137" i="14" s="1"/>
  <c r="Q73" i="14"/>
  <c r="S111" i="14" s="1"/>
  <c r="Q80" i="14"/>
  <c r="S132" i="14" s="1"/>
  <c r="Q78" i="14"/>
  <c r="S125" i="14" s="1"/>
  <c r="R86" i="14"/>
  <c r="Q77" i="14"/>
  <c r="S121" i="14" s="1"/>
  <c r="H93" i="14"/>
  <c r="R77" i="14"/>
  <c r="G96" i="14"/>
  <c r="G111" i="14"/>
  <c r="H138" i="14"/>
  <c r="Q74" i="14"/>
  <c r="S113" i="14" s="1"/>
  <c r="H105" i="14"/>
  <c r="R83" i="14"/>
  <c r="H120" i="14"/>
  <c r="R76" i="14"/>
  <c r="D13" i="12"/>
  <c r="E13" i="12"/>
  <c r="C14" i="12"/>
  <c r="F14" i="12" s="1"/>
  <c r="C51" i="4"/>
  <c r="C38" i="2" s="1"/>
  <c r="S104" i="14"/>
  <c r="S105" i="14"/>
  <c r="S103" i="14"/>
  <c r="S145" i="14"/>
  <c r="S147" i="14"/>
  <c r="S146" i="14"/>
  <c r="S131" i="14"/>
  <c r="S149" i="14"/>
  <c r="S148" i="14"/>
  <c r="S150" i="14"/>
  <c r="S120" i="14"/>
  <c r="S119" i="14"/>
  <c r="S118" i="14"/>
  <c r="S99" i="14"/>
  <c r="S97" i="14"/>
  <c r="S98" i="14"/>
  <c r="S93" i="14"/>
  <c r="S91" i="14"/>
  <c r="S92" i="14"/>
  <c r="S123" i="14"/>
  <c r="S117" i="14"/>
  <c r="S116" i="14"/>
  <c r="S115" i="14"/>
  <c r="S128" i="14"/>
  <c r="S127" i="14"/>
  <c r="S129" i="14"/>
  <c r="S106" i="14"/>
  <c r="S107" i="14"/>
  <c r="S108" i="14"/>
  <c r="S142" i="14"/>
  <c r="S144" i="14"/>
  <c r="S143" i="14"/>
  <c r="E118" i="2"/>
  <c r="E119" i="2"/>
  <c r="E114" i="2"/>
  <c r="E117" i="2"/>
  <c r="E113" i="2"/>
  <c r="S101" i="14"/>
  <c r="S100" i="14"/>
  <c r="S102" i="14"/>
  <c r="S141" i="14"/>
  <c r="S140" i="14"/>
  <c r="S109" i="14"/>
  <c r="D110" i="2"/>
  <c r="I54" i="14"/>
  <c r="I56" i="14"/>
  <c r="I59" i="14"/>
  <c r="I47" i="14"/>
  <c r="I46" i="14"/>
  <c r="I57" i="14"/>
  <c r="I50" i="14"/>
  <c r="I49" i="14"/>
  <c r="I58" i="14"/>
  <c r="I55" i="14"/>
  <c r="I43" i="14"/>
  <c r="I53" i="14"/>
  <c r="I44" i="14"/>
  <c r="I42" i="14"/>
  <c r="I45" i="14"/>
  <c r="I60" i="14"/>
  <c r="I51" i="14"/>
  <c r="I52" i="14"/>
  <c r="I41" i="14"/>
  <c r="I48" i="14"/>
  <c r="A213" i="8"/>
  <c r="B212" i="8"/>
  <c r="K1" i="11" s="1"/>
  <c r="S133" i="14" l="1"/>
  <c r="S95" i="14"/>
  <c r="S134" i="14"/>
  <c r="S130" i="14"/>
  <c r="S94" i="14"/>
  <c r="S114" i="14"/>
  <c r="S138" i="14"/>
  <c r="S112" i="14"/>
  <c r="S126" i="14"/>
  <c r="S110" i="14"/>
  <c r="S136" i="14"/>
  <c r="S124" i="14"/>
  <c r="S122" i="14"/>
  <c r="D14" i="12"/>
  <c r="E14" i="12"/>
  <c r="C15" i="12"/>
  <c r="D15" i="12" s="1"/>
  <c r="E120" i="2"/>
  <c r="E60" i="2" s="1"/>
  <c r="E62" i="2" s="1"/>
  <c r="O41" i="14"/>
  <c r="O92" i="14" s="1"/>
  <c r="D98" i="2"/>
  <c r="D100" i="2" s="1"/>
  <c r="D102" i="2" s="1"/>
  <c r="R45" i="14"/>
  <c r="Q45" i="14"/>
  <c r="I128" i="14"/>
  <c r="Q53" i="14"/>
  <c r="R53" i="14"/>
  <c r="I119" i="14"/>
  <c r="Q50" i="14"/>
  <c r="R50" i="14"/>
  <c r="I101" i="14"/>
  <c r="R44" i="14"/>
  <c r="Q44" i="14"/>
  <c r="I110" i="14"/>
  <c r="R47" i="14"/>
  <c r="Q47" i="14"/>
  <c r="I125" i="14"/>
  <c r="Q52" i="14"/>
  <c r="R52" i="14"/>
  <c r="I137" i="14"/>
  <c r="R56" i="14"/>
  <c r="Q56" i="14"/>
  <c r="I140" i="14"/>
  <c r="Q57" i="14"/>
  <c r="R57" i="14"/>
  <c r="I107" i="14"/>
  <c r="Q46" i="14"/>
  <c r="R46" i="14"/>
  <c r="I92" i="14"/>
  <c r="R41" i="14"/>
  <c r="I146" i="14"/>
  <c r="Q59" i="14"/>
  <c r="R59" i="14"/>
  <c r="I122" i="14"/>
  <c r="R51" i="14"/>
  <c r="Q51" i="14"/>
  <c r="I143" i="14"/>
  <c r="Q58" i="14"/>
  <c r="R58" i="14"/>
  <c r="I131" i="14"/>
  <c r="Q54" i="14"/>
  <c r="R54" i="14"/>
  <c r="Q42" i="14"/>
  <c r="R42" i="14"/>
  <c r="I113" i="14"/>
  <c r="R48" i="14"/>
  <c r="Q48" i="14"/>
  <c r="I98" i="14"/>
  <c r="Q43" i="14"/>
  <c r="R43" i="14"/>
  <c r="I134" i="14"/>
  <c r="Q55" i="14"/>
  <c r="R55" i="14"/>
  <c r="I149" i="14"/>
  <c r="R60" i="14"/>
  <c r="Q60" i="14"/>
  <c r="I116" i="14"/>
  <c r="Q49" i="14"/>
  <c r="R49" i="14"/>
  <c r="T42" i="14"/>
  <c r="I95" i="14"/>
  <c r="T45" i="14"/>
  <c r="I104" i="14"/>
  <c r="A214" i="8"/>
  <c r="B213" i="8"/>
  <c r="S1" i="11" s="1"/>
  <c r="F15" i="12" l="1"/>
  <c r="E15" i="12"/>
  <c r="C16" i="12"/>
  <c r="Q41" i="14"/>
  <c r="R93" i="14" s="1"/>
  <c r="E61" i="2"/>
  <c r="D103" i="2"/>
  <c r="D104" i="2"/>
  <c r="D112" i="2"/>
  <c r="R97" i="14"/>
  <c r="S69" i="14"/>
  <c r="S43" i="14"/>
  <c r="R99" i="14"/>
  <c r="R98" i="14"/>
  <c r="R130" i="14"/>
  <c r="R132" i="14"/>
  <c r="R131" i="14"/>
  <c r="S54" i="14"/>
  <c r="S80" i="14"/>
  <c r="R124" i="14"/>
  <c r="R125" i="14"/>
  <c r="S52" i="14"/>
  <c r="R126" i="14"/>
  <c r="S78" i="14"/>
  <c r="R145" i="14"/>
  <c r="R147" i="14"/>
  <c r="R146" i="14"/>
  <c r="S59" i="14"/>
  <c r="S85" i="14"/>
  <c r="S50" i="14"/>
  <c r="R118" i="14"/>
  <c r="R119" i="14"/>
  <c r="R120" i="14"/>
  <c r="S76" i="14"/>
  <c r="R148" i="14"/>
  <c r="S60" i="14"/>
  <c r="R150" i="14"/>
  <c r="R149" i="14"/>
  <c r="S86" i="14"/>
  <c r="R114" i="14"/>
  <c r="R112" i="14"/>
  <c r="R113" i="14"/>
  <c r="S48" i="14"/>
  <c r="S74" i="14"/>
  <c r="R141" i="14"/>
  <c r="R139" i="14"/>
  <c r="S57" i="14"/>
  <c r="R140" i="14"/>
  <c r="S83" i="14"/>
  <c r="S73" i="14"/>
  <c r="R111" i="14"/>
  <c r="R109" i="14"/>
  <c r="R110" i="14"/>
  <c r="S47" i="14"/>
  <c r="R144" i="14"/>
  <c r="R142" i="14"/>
  <c r="S58" i="14"/>
  <c r="R143" i="14"/>
  <c r="S84" i="14"/>
  <c r="R138" i="14"/>
  <c r="R137" i="14"/>
  <c r="R136" i="14"/>
  <c r="S56" i="14"/>
  <c r="S82" i="14"/>
  <c r="R129" i="14"/>
  <c r="R128" i="14"/>
  <c r="R127" i="14"/>
  <c r="S53" i="14"/>
  <c r="S79" i="14"/>
  <c r="S55" i="14"/>
  <c r="R134" i="14"/>
  <c r="R135" i="14"/>
  <c r="R133" i="14"/>
  <c r="S81" i="14"/>
  <c r="S51" i="14"/>
  <c r="R121" i="14"/>
  <c r="R122" i="14"/>
  <c r="R123" i="14"/>
  <c r="S77" i="14"/>
  <c r="S70" i="14"/>
  <c r="R100" i="14"/>
  <c r="R102" i="14"/>
  <c r="S44" i="14"/>
  <c r="R101" i="14"/>
  <c r="S68" i="14"/>
  <c r="R94" i="14"/>
  <c r="S42" i="14"/>
  <c r="R95" i="14"/>
  <c r="R96" i="14"/>
  <c r="R103" i="14"/>
  <c r="R104" i="14"/>
  <c r="S45" i="14"/>
  <c r="R105" i="14"/>
  <c r="S71" i="14"/>
  <c r="R116" i="14"/>
  <c r="R117" i="14"/>
  <c r="R115" i="14"/>
  <c r="S49" i="14"/>
  <c r="S75" i="14"/>
  <c r="S72" i="14"/>
  <c r="R108" i="14"/>
  <c r="R106" i="14"/>
  <c r="R107" i="14"/>
  <c r="S46" i="14"/>
  <c r="A215" i="8"/>
  <c r="B214" i="8"/>
  <c r="L1" i="11" s="1"/>
  <c r="C17" i="12" l="1"/>
  <c r="E17" i="12" s="1"/>
  <c r="R92" i="14"/>
  <c r="S67" i="14"/>
  <c r="R91" i="14"/>
  <c r="S41" i="14"/>
  <c r="D118" i="2"/>
  <c r="D114" i="2"/>
  <c r="D113" i="2"/>
  <c r="D119" i="2"/>
  <c r="D117" i="2"/>
  <c r="A216" i="8"/>
  <c r="B215" i="8"/>
  <c r="M1" i="11" s="1"/>
  <c r="F17" i="12" l="1"/>
  <c r="D17" i="12"/>
  <c r="C18" i="12"/>
  <c r="E18" i="12" s="1"/>
  <c r="D120" i="2"/>
  <c r="D60" i="2" s="1"/>
  <c r="D61" i="2" s="1"/>
  <c r="B216" i="8"/>
  <c r="T1" i="11" s="1"/>
  <c r="A217" i="8"/>
  <c r="D18" i="12" l="1"/>
  <c r="F18" i="12"/>
  <c r="C19" i="12"/>
  <c r="D62" i="2"/>
  <c r="A218" i="8"/>
  <c r="B217" i="8"/>
  <c r="U1" i="11" s="1"/>
  <c r="C20" i="12" l="1"/>
  <c r="B218" i="8"/>
  <c r="N1" i="11" s="1"/>
  <c r="A219" i="8"/>
  <c r="C21" i="12" l="1"/>
  <c r="F21" i="12" s="1"/>
  <c r="A220" i="8"/>
  <c r="B219" i="8"/>
  <c r="V1" i="11" s="1"/>
  <c r="E21" i="12" l="1"/>
  <c r="D21" i="12"/>
  <c r="C22" i="12"/>
  <c r="B220" i="8"/>
  <c r="O1" i="11" s="1"/>
  <c r="A221" i="8"/>
  <c r="C24" i="12" l="1"/>
  <c r="D24" i="12" s="1"/>
  <c r="A222" i="8"/>
  <c r="B221" i="8"/>
  <c r="P1" i="11" s="1"/>
  <c r="F24" i="12" l="1"/>
  <c r="E24" i="12"/>
  <c r="C25" i="12"/>
  <c r="E25" i="12" s="1"/>
  <c r="B222" i="8"/>
  <c r="Q1" i="11" s="1"/>
  <c r="A223" i="8"/>
  <c r="F25" i="12" l="1"/>
  <c r="D25" i="12"/>
  <c r="C26" i="12"/>
  <c r="E26" i="12" s="1"/>
  <c r="A224" i="8"/>
  <c r="B223" i="8"/>
  <c r="W1" i="11" s="1"/>
  <c r="F26" i="12" l="1"/>
  <c r="D26" i="12"/>
  <c r="C27" i="12"/>
  <c r="B224" i="8"/>
  <c r="R1" i="11" s="1"/>
  <c r="A225" i="8"/>
  <c r="D27" i="12" l="1"/>
  <c r="E27" i="12"/>
  <c r="E19" i="12"/>
  <c r="D20" i="12"/>
  <c r="D22" i="12"/>
  <c r="F20" i="12"/>
  <c r="E20" i="12"/>
  <c r="F22" i="12"/>
  <c r="F27" i="12"/>
  <c r="C28" i="12"/>
  <c r="E28" i="12" s="1"/>
  <c r="A226" i="8"/>
  <c r="B225" i="8"/>
  <c r="D28" i="12" l="1"/>
  <c r="F28" i="12"/>
  <c r="C30" i="12"/>
  <c r="B226" i="8"/>
  <c r="AC1" i="11" s="1"/>
  <c r="A227" i="8"/>
  <c r="C31" i="12" l="1"/>
  <c r="E31" i="12" s="1"/>
  <c r="A228" i="8"/>
  <c r="B227" i="8"/>
  <c r="AD1" i="11" s="1"/>
  <c r="F31" i="12" l="1"/>
  <c r="D31" i="12"/>
  <c r="C32" i="12"/>
  <c r="D32" i="12" s="1"/>
  <c r="A229" i="8"/>
  <c r="B228" i="8"/>
  <c r="AF1" i="11" s="1"/>
  <c r="E32" i="12" l="1"/>
  <c r="F32" i="12"/>
  <c r="C33" i="12"/>
  <c r="D33" i="12" s="1"/>
  <c r="A230" i="8"/>
  <c r="B229" i="8"/>
  <c r="AG1" i="11" s="1"/>
  <c r="F33" i="12" l="1"/>
  <c r="E33" i="12"/>
  <c r="C34" i="12"/>
  <c r="E34" i="12" s="1"/>
  <c r="A231" i="8"/>
  <c r="B230" i="8"/>
  <c r="AH1" i="11" s="1"/>
  <c r="D34" i="12" l="1"/>
  <c r="F34" i="12"/>
  <c r="C35" i="12"/>
  <c r="E35" i="12" s="1"/>
  <c r="A232" i="8"/>
  <c r="B231" i="8"/>
  <c r="AJ1" i="11" s="1"/>
  <c r="F35" i="12" l="1"/>
  <c r="D35" i="12"/>
  <c r="C36" i="12"/>
  <c r="F36" i="12" s="1"/>
  <c r="B232" i="8"/>
  <c r="AK1" i="11" s="1"/>
  <c r="A233" i="8"/>
  <c r="E36" i="12" l="1"/>
  <c r="D36" i="12"/>
  <c r="C37" i="12"/>
  <c r="E37" i="12" s="1"/>
  <c r="A234" i="8"/>
  <c r="B233" i="8"/>
  <c r="AM1" i="11" s="1"/>
  <c r="F37" i="12" l="1"/>
  <c r="D37" i="12"/>
  <c r="C38" i="12"/>
  <c r="E38" i="12" s="1"/>
  <c r="B234" i="8"/>
  <c r="AN1" i="11" s="1"/>
  <c r="A235" i="8"/>
  <c r="D38" i="12" l="1"/>
  <c r="F38" i="12"/>
  <c r="C39" i="12"/>
  <c r="D39" i="12" s="1"/>
  <c r="A236" i="8"/>
  <c r="B235" i="8"/>
  <c r="AO1" i="11" s="1"/>
  <c r="F39" i="12" l="1"/>
  <c r="E39" i="12"/>
  <c r="C40" i="12"/>
  <c r="D40" i="12" s="1"/>
  <c r="B236" i="8"/>
  <c r="CV1" i="11" s="1"/>
  <c r="A237" i="8"/>
  <c r="E40" i="12" l="1"/>
  <c r="F40" i="12"/>
  <c r="C41" i="12"/>
  <c r="A238" i="8"/>
  <c r="B237" i="8"/>
  <c r="CW1" i="11" s="1"/>
  <c r="C42" i="12" l="1"/>
  <c r="B238" i="8"/>
  <c r="CZ1" i="11" s="1"/>
  <c r="A239" i="8"/>
  <c r="C43" i="12" l="1"/>
  <c r="A240" i="8"/>
  <c r="B239" i="8"/>
  <c r="AQ1" i="11" s="1"/>
  <c r="C44" i="12" l="1"/>
  <c r="D44" i="12" s="1"/>
  <c r="A241" i="8"/>
  <c r="B240" i="8"/>
  <c r="AR1" i="11" s="1"/>
  <c r="F44" i="12" l="1"/>
  <c r="E44" i="12"/>
  <c r="C45" i="12"/>
  <c r="F45" i="12" s="1"/>
  <c r="A242" i="8"/>
  <c r="B241" i="8"/>
  <c r="AS1" i="11" s="1"/>
  <c r="D45" i="12" l="1"/>
  <c r="E45" i="12"/>
  <c r="C46" i="12"/>
  <c r="E46" i="12" s="1"/>
  <c r="B242" i="8"/>
  <c r="AT1" i="11" s="1"/>
  <c r="F41" i="12" s="1"/>
  <c r="A243" i="8"/>
  <c r="F46" i="12" l="1"/>
  <c r="D41" i="12"/>
  <c r="D43" i="12"/>
  <c r="E42" i="12"/>
  <c r="D42" i="12"/>
  <c r="F16" i="12"/>
  <c r="F19" i="12"/>
  <c r="E16" i="12"/>
  <c r="D19" i="12"/>
  <c r="E22" i="12"/>
  <c r="D16" i="12"/>
  <c r="F42" i="12"/>
  <c r="E41" i="12"/>
  <c r="F43" i="12"/>
  <c r="D46" i="12"/>
  <c r="E43" i="12"/>
  <c r="C47" i="12"/>
  <c r="E47" i="12" s="1"/>
  <c r="A244" i="8"/>
  <c r="B243" i="8"/>
  <c r="F47" i="12" l="1"/>
  <c r="D47" i="12"/>
  <c r="A245" i="8"/>
  <c r="B244" i="8"/>
  <c r="A246" i="8" l="1"/>
  <c r="B245" i="8"/>
  <c r="A247" i="8" l="1"/>
  <c r="B246" i="8"/>
  <c r="C49" i="10" s="1"/>
  <c r="R3" i="7" s="1"/>
  <c r="R28" i="7" l="1"/>
  <c r="R8" i="7"/>
  <c r="R11" i="7"/>
  <c r="R9" i="7"/>
  <c r="R10" i="7"/>
  <c r="A248" i="8"/>
  <c r="B247" i="8"/>
  <c r="C50" i="10" s="1"/>
  <c r="R12" i="7" s="1"/>
  <c r="R15" i="7" l="1"/>
  <c r="R4" i="7"/>
  <c r="R13" i="7"/>
  <c r="R14" i="7"/>
  <c r="R29" i="7"/>
  <c r="B248" i="8"/>
  <c r="C51" i="10" s="1"/>
  <c r="R19" i="7" s="1"/>
  <c r="A249" i="8"/>
  <c r="R7" i="7" l="1"/>
  <c r="R31" i="7"/>
  <c r="R6" i="7"/>
  <c r="R26" i="7"/>
  <c r="R18" i="7"/>
  <c r="R22" i="7"/>
  <c r="R23" i="7"/>
  <c r="R32" i="7"/>
  <c r="R27" i="7"/>
  <c r="R21" i="7"/>
  <c r="R17" i="7"/>
  <c r="R30" i="7"/>
  <c r="R20" i="7"/>
  <c r="R25" i="7"/>
  <c r="R5" i="7"/>
  <c r="R16" i="7"/>
  <c r="R24" i="7"/>
  <c r="A250" i="8"/>
  <c r="B249" i="8"/>
  <c r="F23" i="2" s="1"/>
  <c r="B250" i="8" l="1"/>
  <c r="A251" i="8"/>
  <c r="A252" i="8" l="1"/>
  <c r="B251" i="8"/>
  <c r="B252" i="8" l="1"/>
  <c r="A253" i="8"/>
  <c r="A254" i="8" l="1"/>
  <c r="B253" i="8"/>
  <c r="B254" i="8" l="1"/>
  <c r="A255" i="8"/>
  <c r="A256" i="8" l="1"/>
  <c r="B255" i="8"/>
  <c r="B256" i="8" l="1"/>
  <c r="A257" i="8"/>
  <c r="A258" i="8" l="1"/>
  <c r="B257" i="8"/>
  <c r="B258" i="8" l="1"/>
  <c r="A259" i="8"/>
  <c r="A260" i="8" l="1"/>
  <c r="B259" i="8"/>
  <c r="A261" i="8" l="1"/>
  <c r="B260" i="8"/>
  <c r="A262" i="8" l="1"/>
  <c r="B261" i="8"/>
  <c r="A263" i="8" l="1"/>
  <c r="B262" i="8"/>
  <c r="A264" i="8" l="1"/>
  <c r="B263" i="8"/>
  <c r="B264" i="8" l="1"/>
  <c r="A265" i="8"/>
  <c r="A266" i="8" l="1"/>
  <c r="B265" i="8"/>
  <c r="B266" i="8" l="1"/>
  <c r="A267" i="8"/>
  <c r="A268" i="8" l="1"/>
  <c r="B267" i="8"/>
  <c r="B268" i="8" l="1"/>
  <c r="A269" i="8"/>
  <c r="A270" i="8" l="1"/>
  <c r="B269" i="8"/>
  <c r="B270" i="8" l="1"/>
  <c r="A271" i="8"/>
  <c r="A272" i="8" l="1"/>
  <c r="B271" i="8"/>
  <c r="A273" i="8" l="1"/>
  <c r="B272" i="8"/>
  <c r="A274" i="8" l="1"/>
  <c r="B273" i="8"/>
  <c r="B274" i="8" l="1"/>
  <c r="A275" i="8"/>
  <c r="A276" i="8" l="1"/>
  <c r="B275" i="8"/>
  <c r="A277" i="8" l="1"/>
  <c r="B276" i="8"/>
  <c r="A278" i="8" l="1"/>
  <c r="B277" i="8"/>
  <c r="A279" i="8" l="1"/>
  <c r="B278" i="8"/>
  <c r="A280" i="8" l="1"/>
  <c r="B279" i="8"/>
  <c r="A281" i="8" l="1"/>
  <c r="B280" i="8"/>
  <c r="A282" i="8" l="1"/>
  <c r="B281" i="8"/>
  <c r="B282" i="8" l="1"/>
  <c r="A283" i="8"/>
  <c r="A284" i="8" l="1"/>
  <c r="B283" i="8"/>
  <c r="B284" i="8" l="1"/>
  <c r="A285" i="8"/>
  <c r="A286" i="8" l="1"/>
  <c r="B285" i="8"/>
  <c r="B286" i="8" l="1"/>
  <c r="A287" i="8"/>
  <c r="A288" i="8" l="1"/>
  <c r="B287" i="8"/>
  <c r="B288" i="8" l="1"/>
  <c r="A289" i="8"/>
  <c r="A290" i="8" l="1"/>
  <c r="B289" i="8"/>
  <c r="B290" i="8" l="1"/>
  <c r="A291" i="8"/>
  <c r="A292" i="8" l="1"/>
  <c r="B291" i="8"/>
  <c r="A293" i="8" l="1"/>
  <c r="B292" i="8"/>
  <c r="A294" i="8" l="1"/>
  <c r="B293" i="8"/>
  <c r="A295" i="8" l="1"/>
  <c r="B294" i="8"/>
  <c r="A296" i="8" l="1"/>
  <c r="B295" i="8"/>
  <c r="A297" i="8" l="1"/>
  <c r="B296" i="8"/>
  <c r="A298" i="8" l="1"/>
  <c r="B297" i="8"/>
  <c r="B298" i="8" l="1"/>
  <c r="A299" i="8"/>
  <c r="A300" i="8" l="1"/>
  <c r="B299" i="8"/>
  <c r="B300" i="8" l="1"/>
  <c r="A301" i="8"/>
  <c r="A302" i="8" l="1"/>
  <c r="B301" i="8"/>
  <c r="B302" i="8" l="1"/>
  <c r="A303" i="8"/>
  <c r="A304" i="8" l="1"/>
  <c r="B303" i="8"/>
  <c r="A305" i="8" l="1"/>
  <c r="B304" i="8"/>
  <c r="A306" i="8" l="1"/>
  <c r="B305" i="8"/>
  <c r="B306" i="8" l="1"/>
  <c r="A307" i="8"/>
  <c r="A308" i="8" l="1"/>
  <c r="B307" i="8"/>
  <c r="A309" i="8" l="1"/>
  <c r="B308" i="8"/>
  <c r="A310" i="8" l="1"/>
  <c r="B309" i="8"/>
  <c r="A311" i="8" l="1"/>
  <c r="B310" i="8"/>
  <c r="A312" i="8" l="1"/>
  <c r="B311" i="8"/>
  <c r="A313" i="8" l="1"/>
  <c r="B312" i="8"/>
  <c r="A314" i="8" l="1"/>
  <c r="B313" i="8"/>
  <c r="B314" i="8" l="1"/>
  <c r="A315" i="8"/>
  <c r="A316" i="8" l="1"/>
  <c r="B315" i="8"/>
  <c r="B316" i="8" l="1"/>
  <c r="A317" i="8"/>
  <c r="A318" i="8" l="1"/>
  <c r="B317" i="8"/>
  <c r="B318" i="8" l="1"/>
  <c r="A319" i="8"/>
  <c r="A320" i="8" l="1"/>
  <c r="B319" i="8"/>
  <c r="B320" i="8" l="1"/>
  <c r="A321" i="8"/>
  <c r="A322" i="8" l="1"/>
  <c r="B321" i="8"/>
  <c r="B322" i="8" l="1"/>
  <c r="A323" i="8"/>
  <c r="A324" i="8" l="1"/>
  <c r="B323" i="8"/>
  <c r="A325" i="8" l="1"/>
  <c r="B324" i="8"/>
  <c r="A326" i="8" l="1"/>
  <c r="B325" i="8"/>
  <c r="A327" i="8" l="1"/>
  <c r="B326" i="8"/>
  <c r="A328" i="8" l="1"/>
  <c r="B327" i="8"/>
  <c r="A329" i="8" l="1"/>
  <c r="B328" i="8"/>
  <c r="A330" i="8" l="1"/>
  <c r="B329" i="8"/>
  <c r="B330" i="8" l="1"/>
  <c r="A331" i="8"/>
  <c r="B331" i="8" l="1"/>
  <c r="A332" i="8"/>
  <c r="B332" i="8" l="1"/>
  <c r="A333" i="8"/>
  <c r="A334" i="8" l="1"/>
  <c r="B333" i="8"/>
  <c r="A335" i="8" l="1"/>
  <c r="B334" i="8"/>
  <c r="B335" i="8" l="1"/>
  <c r="A336" i="8"/>
  <c r="A337" i="8" l="1"/>
  <c r="B336" i="8"/>
  <c r="A338" i="8" l="1"/>
  <c r="B337" i="8"/>
  <c r="A339" i="8" l="1"/>
  <c r="B338" i="8"/>
  <c r="B339" i="8" l="1"/>
  <c r="A340" i="8"/>
  <c r="A341" i="8" l="1"/>
  <c r="B340" i="8"/>
  <c r="A342" i="8" l="1"/>
  <c r="B341" i="8"/>
  <c r="A343" i="8" l="1"/>
  <c r="B342" i="8"/>
  <c r="B343" i="8" l="1"/>
  <c r="A344" i="8"/>
  <c r="A345" i="8" l="1"/>
  <c r="B344" i="8"/>
  <c r="A346" i="8" l="1"/>
  <c r="B345" i="8"/>
  <c r="A347" i="8" l="1"/>
  <c r="B346" i="8"/>
  <c r="A348" i="8" l="1"/>
  <c r="B347" i="8"/>
  <c r="A349" i="8" l="1"/>
  <c r="B348" i="8"/>
  <c r="A350" i="8" l="1"/>
  <c r="B349" i="8"/>
  <c r="A351" i="8" l="1"/>
  <c r="B350" i="8"/>
  <c r="B351" i="8" l="1"/>
  <c r="A352" i="8"/>
  <c r="A353" i="8" l="1"/>
  <c r="B352" i="8"/>
  <c r="A354" i="8" l="1"/>
  <c r="B353" i="8"/>
  <c r="A355" i="8" l="1"/>
  <c r="B354" i="8"/>
  <c r="A356" i="8" l="1"/>
  <c r="B355" i="8"/>
  <c r="A357" i="8" l="1"/>
  <c r="B356" i="8"/>
  <c r="A358" i="8" l="1"/>
  <c r="B357" i="8"/>
  <c r="A359" i="8" l="1"/>
  <c r="B358" i="8"/>
  <c r="B359" i="8" l="1"/>
  <c r="A360" i="8"/>
  <c r="A361" i="8" l="1"/>
  <c r="B360" i="8"/>
  <c r="A362" i="8" l="1"/>
  <c r="B361" i="8"/>
  <c r="A363" i="8" l="1"/>
  <c r="B362" i="8"/>
  <c r="B363" i="8" l="1"/>
  <c r="A364" i="8"/>
  <c r="A365" i="8" l="1"/>
  <c r="B364" i="8"/>
  <c r="A366" i="8" l="1"/>
  <c r="B365" i="8"/>
  <c r="A367" i="8" l="1"/>
  <c r="B366" i="8"/>
  <c r="B367" i="8" l="1"/>
  <c r="A368" i="8"/>
  <c r="A369" i="8" l="1"/>
  <c r="B368" i="8"/>
  <c r="A370" i="8" l="1"/>
  <c r="B369" i="8"/>
  <c r="A371" i="8" l="1"/>
  <c r="B370" i="8"/>
  <c r="B371" i="8" l="1"/>
  <c r="A372" i="8"/>
  <c r="A373" i="8" l="1"/>
  <c r="B372" i="8"/>
  <c r="A374" i="8" l="1"/>
  <c r="B373" i="8"/>
  <c r="A375" i="8" l="1"/>
  <c r="B374" i="8"/>
  <c r="B375" i="8" l="1"/>
  <c r="A376" i="8"/>
  <c r="A377" i="8" l="1"/>
  <c r="B376" i="8"/>
  <c r="A378" i="8" l="1"/>
  <c r="B377" i="8"/>
  <c r="A379" i="8" l="1"/>
  <c r="B378" i="8"/>
  <c r="A380" i="8" l="1"/>
  <c r="B379" i="8"/>
  <c r="A381" i="8" l="1"/>
  <c r="B380" i="8"/>
  <c r="A382" i="8" l="1"/>
  <c r="B381" i="8"/>
  <c r="A383" i="8" l="1"/>
  <c r="B382" i="8"/>
  <c r="B383" i="8" l="1"/>
  <c r="A384" i="8"/>
  <c r="A385" i="8" l="1"/>
  <c r="B384" i="8"/>
  <c r="A386" i="8" l="1"/>
  <c r="B385" i="8"/>
  <c r="A387" i="8" l="1"/>
  <c r="B386" i="8"/>
  <c r="A388" i="8" l="1"/>
  <c r="B387" i="8"/>
  <c r="A389" i="8" l="1"/>
  <c r="B388" i="8"/>
  <c r="A390" i="8" l="1"/>
  <c r="B389" i="8"/>
  <c r="A391" i="8" l="1"/>
  <c r="B390" i="8"/>
  <c r="B391" i="8" l="1"/>
  <c r="A392" i="8"/>
  <c r="A393" i="8" l="1"/>
  <c r="B392" i="8"/>
  <c r="A394" i="8" l="1"/>
  <c r="B393" i="8"/>
  <c r="A395" i="8" l="1"/>
  <c r="B394" i="8"/>
  <c r="B395" i="8" l="1"/>
  <c r="A396" i="8"/>
  <c r="A397" i="8" l="1"/>
  <c r="B396" i="8"/>
  <c r="A398" i="8" l="1"/>
  <c r="B397" i="8"/>
  <c r="A399" i="8" l="1"/>
  <c r="B398" i="8"/>
  <c r="B399" i="8" l="1"/>
  <c r="A400" i="8"/>
  <c r="A401" i="8" l="1"/>
  <c r="B400" i="8"/>
  <c r="A402" i="8" l="1"/>
  <c r="B401" i="8"/>
  <c r="A403" i="8" l="1"/>
  <c r="B402" i="8"/>
  <c r="A404" i="8" l="1"/>
  <c r="B403" i="8"/>
  <c r="A405" i="8" l="1"/>
  <c r="B404" i="8"/>
  <c r="A406" i="8" l="1"/>
  <c r="B405" i="8"/>
  <c r="A407" i="8" l="1"/>
  <c r="B406" i="8"/>
  <c r="B407" i="8" l="1"/>
  <c r="A408" i="8"/>
  <c r="A409" i="8" l="1"/>
  <c r="B408" i="8"/>
  <c r="A410" i="8" l="1"/>
  <c r="B409" i="8"/>
  <c r="A411" i="8" l="1"/>
  <c r="B410" i="8"/>
  <c r="A412" i="8" l="1"/>
  <c r="B411" i="8"/>
  <c r="A413" i="8" l="1"/>
  <c r="B412" i="8"/>
  <c r="A414" i="8" l="1"/>
  <c r="B413" i="8"/>
  <c r="A415" i="8" l="1"/>
  <c r="B414" i="8"/>
  <c r="B415" i="8" l="1"/>
  <c r="A416" i="8"/>
  <c r="A417" i="8" l="1"/>
  <c r="B416" i="8"/>
  <c r="A418" i="8" l="1"/>
  <c r="B417" i="8"/>
  <c r="A419" i="8" l="1"/>
  <c r="B418" i="8"/>
  <c r="B419" i="8" l="1"/>
  <c r="A420" i="8"/>
  <c r="A421" i="8" l="1"/>
  <c r="B420" i="8"/>
  <c r="A422" i="8" l="1"/>
  <c r="B421" i="8"/>
  <c r="A423" i="8" l="1"/>
  <c r="B422" i="8"/>
  <c r="A424" i="8" l="1"/>
  <c r="B423" i="8"/>
  <c r="A425" i="8" l="1"/>
  <c r="B424" i="8"/>
  <c r="A426" i="8" l="1"/>
  <c r="B425" i="8"/>
  <c r="A427" i="8" l="1"/>
  <c r="B426" i="8"/>
  <c r="B427" i="8" l="1"/>
  <c r="A428" i="8"/>
  <c r="A429" i="8" l="1"/>
  <c r="B428" i="8"/>
  <c r="A430" i="8" l="1"/>
  <c r="B429" i="8"/>
  <c r="A431" i="8" l="1"/>
  <c r="B430" i="8"/>
  <c r="B431" i="8" l="1"/>
  <c r="A432" i="8"/>
  <c r="A433" i="8" l="1"/>
  <c r="B432" i="8"/>
  <c r="A434" i="8" l="1"/>
  <c r="B433" i="8"/>
  <c r="A435" i="8" l="1"/>
  <c r="B434" i="8"/>
  <c r="A436" i="8" l="1"/>
  <c r="B435" i="8"/>
  <c r="A437" i="8" l="1"/>
  <c r="B436" i="8"/>
  <c r="A438" i="8" l="1"/>
  <c r="B437" i="8"/>
  <c r="A439" i="8" l="1"/>
  <c r="B438" i="8"/>
  <c r="B439" i="8" l="1"/>
  <c r="A440" i="8"/>
  <c r="A441" i="8" l="1"/>
  <c r="B440" i="8"/>
  <c r="A442" i="8" l="1"/>
  <c r="B441" i="8"/>
  <c r="A443" i="8" l="1"/>
  <c r="B442" i="8"/>
  <c r="A444" i="8" l="1"/>
  <c r="B443" i="8"/>
  <c r="A445" i="8" l="1"/>
  <c r="B444" i="8"/>
  <c r="A446" i="8" l="1"/>
  <c r="B445" i="8"/>
  <c r="A447" i="8" l="1"/>
  <c r="B446" i="8"/>
  <c r="B447" i="8" l="1"/>
  <c r="A448" i="8"/>
  <c r="A449" i="8" l="1"/>
  <c r="B448" i="8"/>
  <c r="A450" i="8" l="1"/>
  <c r="B449" i="8"/>
  <c r="B450" i="8" l="1"/>
  <c r="A451" i="8"/>
  <c r="B451" i="8" l="1"/>
  <c r="A452" i="8"/>
  <c r="A453" i="8" l="1"/>
  <c r="B452" i="8"/>
  <c r="A454" i="8" l="1"/>
  <c r="B453" i="8"/>
  <c r="A455" i="8" l="1"/>
  <c r="B454" i="8"/>
  <c r="B455" i="8" l="1"/>
  <c r="A456" i="8"/>
  <c r="A457" i="8" l="1"/>
  <c r="B456" i="8"/>
  <c r="A458" i="8" l="1"/>
  <c r="B457" i="8"/>
  <c r="B458" i="8" l="1"/>
  <c r="A459" i="8"/>
  <c r="B459" i="8" l="1"/>
  <c r="A460" i="8"/>
  <c r="B460" i="8" s="1"/>
</calcChain>
</file>

<file path=xl/sharedStrings.xml><?xml version="1.0" encoding="utf-8"?>
<sst xmlns="http://schemas.openxmlformats.org/spreadsheetml/2006/main" count="1846" uniqueCount="924">
  <si>
    <t>Disclaimer:</t>
  </si>
  <si>
    <t xml:space="preserve">De in het TCO-Vracht gebruikte default- c.q. standaardwaarden zijn met de grootste zorg verzameld. Het betreft echter gemiddelde cijfers, de werkelijke cijfers kunnen ofwel hoger dan wel lager zijn. Hoewel veel zorg is besteed aan de correctheid van de rekenregels en de gebruikte inputdata, is Panteia of de Topsector Logistiek niet aansprakelijk te houden voor de juistheid van de rekenresultaten. </t>
  </si>
  <si>
    <t>Input-output module</t>
  </si>
  <si>
    <t>TCO-ZET-Vracht</t>
  </si>
  <si>
    <t xml:space="preserve"> </t>
  </si>
  <si>
    <t>Naam dataset</t>
  </si>
  <si>
    <t>scenario 5 1-4-2022</t>
  </si>
  <si>
    <t>BASIS INVOERGEGEVENS</t>
  </si>
  <si>
    <t>INZETGEGEVENS VOERTUIG SYSTEM</t>
  </si>
  <si>
    <t xml:space="preserve"> Dieselvoertuig</t>
  </si>
  <si>
    <t xml:space="preserve"> Elektrisch voertuig </t>
  </si>
  <si>
    <t>Waterstof voertuig</t>
  </si>
  <si>
    <t>Voertuigtype</t>
  </si>
  <si>
    <t>Medium bakwagen</t>
  </si>
  <si>
    <t>Koelmachine (J/N)</t>
  </si>
  <si>
    <t>niet gekoeld</t>
  </si>
  <si>
    <t xml:space="preserve">Restwaarde </t>
  </si>
  <si>
    <t>Verwacht jaarkilometrage</t>
  </si>
  <si>
    <t>Productieve uren per jaar</t>
  </si>
  <si>
    <t>Grijze/groene elektriciciteit</t>
  </si>
  <si>
    <t>Groen</t>
  </si>
  <si>
    <t>Kosten van reparaties</t>
  </si>
  <si>
    <t>Grijze/groene waterstof</t>
  </si>
  <si>
    <t>Electrolysis RE</t>
  </si>
  <si>
    <t>Rechtsvorm en belastingpercentage</t>
  </si>
  <si>
    <t>BV of NV met 15% belasting</t>
  </si>
  <si>
    <t>Basisjaar prognose</t>
  </si>
  <si>
    <t>Grootte van bedrijf</t>
  </si>
  <si>
    <t>Groot</t>
  </si>
  <si>
    <t>Vermogen eigen oplaadsysteem (kW)</t>
  </si>
  <si>
    <t xml:space="preserve">Capaciteit vrachtwagenbatterij (kWh) </t>
  </si>
  <si>
    <t>Waterstof opslag tank (kg)</t>
  </si>
  <si>
    <t>BASIS UITGANGSPUNTEN</t>
  </si>
  <si>
    <t>AANKOOPPRIJS</t>
  </si>
  <si>
    <t xml:space="preserve">Bruto aankoopprijs </t>
  </si>
  <si>
    <t>J</t>
  </si>
  <si>
    <t>subsidie toepassen (J/N)</t>
  </si>
  <si>
    <t>MIA-subsidie</t>
  </si>
  <si>
    <t>Netto aankoopprijs</t>
  </si>
  <si>
    <t>Dieselvoertuigbelastingen</t>
  </si>
  <si>
    <t xml:space="preserve">Bruto kosten inkoopoplaadsysteem </t>
  </si>
  <si>
    <t>Aandeel snelweg kilometers</t>
  </si>
  <si>
    <t xml:space="preserve"> Bruto kosten aanleg oplaadsysteem </t>
  </si>
  <si>
    <t>Vaste ZE-Voertuigheffing</t>
  </si>
  <si>
    <t>Netto kosten inkoop &amp; aanleg oplaadsysteem</t>
  </si>
  <si>
    <t>CO2 prijs</t>
  </si>
  <si>
    <t>Hernieuwbare Brandstof-Eenheden (HBE's)</t>
  </si>
  <si>
    <t>Waterstof voertuig (FCEV)</t>
  </si>
  <si>
    <t>INKOOPPRIJS ENERGIE</t>
  </si>
  <si>
    <t xml:space="preserve"> Elektriciteit: euro/kWh</t>
  </si>
  <si>
    <t>Waterstof: euro/kg</t>
  </si>
  <si>
    <t>Dieselprijs: euro/l</t>
  </si>
  <si>
    <t>HBE Toepassen (J/N)</t>
  </si>
  <si>
    <t>N</t>
  </si>
  <si>
    <t xml:space="preserve">Basisprijs energie </t>
  </si>
  <si>
    <t>Aantal HBE's</t>
  </si>
  <si>
    <t>Energiesubsidie</t>
  </si>
  <si>
    <t>Forfait</t>
  </si>
  <si>
    <t>Netto inkooprijs</t>
  </si>
  <si>
    <t>Waarde per HBE</t>
  </si>
  <si>
    <t>Totale waarde HBE's</t>
  </si>
  <si>
    <t>RESULTATEN</t>
  </si>
  <si>
    <t>Scenario</t>
  </si>
  <si>
    <t>Diesel</t>
  </si>
  <si>
    <t>EV Optimale mix</t>
  </si>
  <si>
    <t>Scenario technisch mogelijk (valide)/niet mogelijk</t>
  </si>
  <si>
    <t>Eigen oplaadsysteem</t>
  </si>
  <si>
    <t>nvt</t>
  </si>
  <si>
    <t>Openbaar oplaadsysteem</t>
  </si>
  <si>
    <t>Percentage eigen oplaadsysteem</t>
  </si>
  <si>
    <t>Percentage extern (openbaar) oplaadsysteem</t>
  </si>
  <si>
    <t>Totale kosten per jaar</t>
  </si>
  <si>
    <t>Totale kosten per km</t>
  </si>
  <si>
    <t>Totale kosten per uur</t>
  </si>
  <si>
    <t>Emissies (totaal per jaar voor het geselecteerde voertuig)</t>
  </si>
  <si>
    <t>CO2 emissies (ton per jaar, WtW)</t>
  </si>
  <si>
    <t>PM totaal (kg per jaar, TtW)</t>
  </si>
  <si>
    <t>NOx (kg per jaar, TtW)</t>
  </si>
  <si>
    <t>ONDERBOUWING KOSTENBEREKENING</t>
  </si>
  <si>
    <t>Vaste kosten per jaar</t>
  </si>
  <si>
    <t>Wegenbelasting</t>
  </si>
  <si>
    <t>Eurovignet</t>
  </si>
  <si>
    <t>Rente</t>
  </si>
  <si>
    <t>Verzekering</t>
  </si>
  <si>
    <t>Voertuigheffing</t>
  </si>
  <si>
    <t>Diverse overige voertuigkosten</t>
  </si>
  <si>
    <t>a: Totale vaste voertuigkosten per jaar</t>
  </si>
  <si>
    <t>Fixed transport costs</t>
  </si>
  <si>
    <t>Variabele kosten per jaar</t>
  </si>
  <si>
    <t>Afschrijving voertuig</t>
  </si>
  <si>
    <t>Brandstofverbruik voertuig</t>
  </si>
  <si>
    <t>Brandstofverbruik koeling</t>
  </si>
  <si>
    <t>Elektriciteitsverbruik</t>
  </si>
  <si>
    <t>H2 verbruik</t>
  </si>
  <si>
    <t>Adblue verbruik</t>
  </si>
  <si>
    <t>Banden</t>
  </si>
  <si>
    <t>Onderhoud</t>
  </si>
  <si>
    <t>Reparatie</t>
  </si>
  <si>
    <t>Reparatie/onderhoud koelunit</t>
  </si>
  <si>
    <t>Verschil Tolheffing (km-tarief)</t>
  </si>
  <si>
    <t>CO2-prijs</t>
  </si>
  <si>
    <t>Hernieuwbare Brandstof-Eenheden</t>
  </si>
  <si>
    <t xml:space="preserve">Specifieke vervoerskosten </t>
  </si>
  <si>
    <t>b: Totale variabele voertuigkosten per jaar</t>
  </si>
  <si>
    <t>Repair, maintenance &amp; tires</t>
  </si>
  <si>
    <t>Kosten oplaadsysteem per jaar</t>
  </si>
  <si>
    <t>Aankoop en installatie</t>
  </si>
  <si>
    <t>Operationele kosten</t>
  </si>
  <si>
    <t>c: Totale kosten oplaadsysteem per jaar</t>
  </si>
  <si>
    <t xml:space="preserve">Totale voertuig en oplaadsysteemkosten per jaar (a+b+c) </t>
  </si>
  <si>
    <t>Totale voertuig en oplaadsysteemkosten per km: (a+b+c)/kms per jaar</t>
  </si>
  <si>
    <t>Totale voertuig en oplaadsysteemkosten per uur (a+b+c)/uren per jaar</t>
  </si>
  <si>
    <t>Chauffeurskosten</t>
  </si>
  <si>
    <t>Uurloon incl. sociale lasten</t>
  </si>
  <si>
    <t>Verblijfkostenvergoeding</t>
  </si>
  <si>
    <t>Overige kosten</t>
  </si>
  <si>
    <t>d: Totale chauffeurskosten per jaar</t>
  </si>
  <si>
    <t>Totale directe kosten per jaar (a+b+c+d)</t>
  </si>
  <si>
    <t>Totale directe kosten per km: (a+b+c+d)/kms per jaar</t>
  </si>
  <si>
    <t>Totale directe kosten per uur (a+b+c+d)/uren per jaar</t>
  </si>
  <si>
    <t>Algemene kosten (overhead)</t>
  </si>
  <si>
    <t>Loon incl. sociale lasten</t>
  </si>
  <si>
    <t>Huisvesting</t>
  </si>
  <si>
    <t>Overig</t>
  </si>
  <si>
    <t>e: Totale overhead per jaar</t>
  </si>
  <si>
    <t>versie 4.0</t>
  </si>
  <si>
    <t>Optie</t>
  </si>
  <si>
    <t>Defaultwaarde</t>
  </si>
  <si>
    <t>keuze 1</t>
  </si>
  <si>
    <t>keuze 2</t>
  </si>
  <si>
    <t>keuze 3</t>
  </si>
  <si>
    <t>keuze 4</t>
  </si>
  <si>
    <t>keuze 5</t>
  </si>
  <si>
    <t>keuze 6</t>
  </si>
  <si>
    <t>keuze 7</t>
  </si>
  <si>
    <t>keuze 8</t>
  </si>
  <si>
    <t>keuze 9</t>
  </si>
  <si>
    <t>keuze 10</t>
  </si>
  <si>
    <t>keuze 11</t>
  </si>
  <si>
    <t>keuze 12</t>
  </si>
  <si>
    <t>keuze 13</t>
  </si>
  <si>
    <t>keuze 14</t>
  </si>
  <si>
    <t>keuze 15</t>
  </si>
  <si>
    <t>Kleine bakwagen</t>
  </si>
  <si>
    <t>Grote bakwagen</t>
  </si>
  <si>
    <t>Lichte trekker z/opl</t>
  </si>
  <si>
    <t>Zware trekker z/opl</t>
  </si>
  <si>
    <t>gekoeld</t>
  </si>
  <si>
    <t>[km/jaar]</t>
  </si>
  <si>
    <t>Grijs</t>
  </si>
  <si>
    <t>Gray</t>
  </si>
  <si>
    <t>Blue</t>
  </si>
  <si>
    <t>BV of NV met 25,8% belasting</t>
  </si>
  <si>
    <t>Eenmanszaak met 37,07% belasting</t>
  </si>
  <si>
    <t>Eenmanszaak met 49,5% belasting</t>
  </si>
  <si>
    <t>AanZET-subsidie</t>
  </si>
  <si>
    <t>Middelgroot</t>
  </si>
  <si>
    <t>Klein</t>
  </si>
  <si>
    <t>Economische levensduur [jaren]</t>
  </si>
  <si>
    <t>Stilstand [dagen per jaar]</t>
  </si>
  <si>
    <t>Attribuut</t>
  </si>
  <si>
    <t>Productieve dagen per jaar</t>
  </si>
  <si>
    <t>Productieve uren per dag</t>
  </si>
  <si>
    <t>onderstaande waarden tevens defaultwaarden</t>
  </si>
  <si>
    <t>ID</t>
  </si>
  <si>
    <t>Veh. Type ID</t>
  </si>
  <si>
    <t>Variant ID</t>
  </si>
  <si>
    <t>Name</t>
  </si>
  <si>
    <t>Energy unit</t>
  </si>
  <si>
    <t>Veh. Price</t>
  </si>
  <si>
    <t>Energy/fuel consumption L; kWh; kg H2</t>
  </si>
  <si>
    <t>Refrigeration energy/fuel consumption L; kWh; kg H2</t>
  </si>
  <si>
    <t>Maintenance costs</t>
  </si>
  <si>
    <t>Road tax</t>
  </si>
  <si>
    <t>Battery size</t>
  </si>
  <si>
    <t>FC power</t>
  </si>
  <si>
    <t>H2 Storage tanks</t>
  </si>
  <si>
    <t>DV</t>
  </si>
  <si>
    <t>L</t>
  </si>
  <si>
    <t>EV</t>
  </si>
  <si>
    <t>kWh</t>
  </si>
  <si>
    <t>Medium bakwagen 180 kWh</t>
  </si>
  <si>
    <t>FC</t>
  </si>
  <si>
    <t>kg H2</t>
  </si>
  <si>
    <t>Medium bakwagen 40 kW</t>
  </si>
  <si>
    <t>Gekozen voertuigtype</t>
  </si>
  <si>
    <t>Voertuig type ID</t>
  </si>
  <si>
    <t>Kilometers / dag</t>
  </si>
  <si>
    <t>Berekening benodigde hoeveelheid energie per aandrijfvorm en bepalen aangeraden voertuigvariant</t>
  </si>
  <si>
    <t>Uren om 's nachts op te laden</t>
  </si>
  <si>
    <t>Veh. Type</t>
  </si>
  <si>
    <t>Fuel</t>
  </si>
  <si>
    <t>kilometers per dag</t>
  </si>
  <si>
    <t>[unit]</t>
  </si>
  <si>
    <t xml:space="preserve"> [liters]</t>
  </si>
  <si>
    <t xml:space="preserve"> [kWh]</t>
  </si>
  <si>
    <t>[kg H2]</t>
  </si>
  <si>
    <t>Energieverbruik koeleenheid/uur</t>
  </si>
  <si>
    <t>Energieverbruik/km</t>
  </si>
  <si>
    <t>Energieverbruik voertuig / dag</t>
  </si>
  <si>
    <t>Aanbevolen batterijcapaciteit</t>
  </si>
  <si>
    <t>Voertuig variant</t>
  </si>
  <si>
    <t>Voertuig model</t>
  </si>
  <si>
    <t>Voertuig model ID</t>
  </si>
  <si>
    <t>N/A</t>
  </si>
  <si>
    <t>OPGEZOCHTE VOERTUIGGEGEVENS</t>
  </si>
  <si>
    <t>Restwaarde voertuig [voorstel]</t>
  </si>
  <si>
    <t>Restwaarde voertuig [gebruiker]</t>
  </si>
  <si>
    <t>Restwaarde voertuig</t>
  </si>
  <si>
    <t>Onderstaande tabel bevat alle voertuigvarianten en kenmerken</t>
  </si>
  <si>
    <t>De benodigde hoeveelheid energie is berekend per type aandrijving</t>
  </si>
  <si>
    <t>Per type aandrijving is een coefficient bekend (zie voertuigcatalogus) voor de benodige hoeveelheid energie per km en per uur (voor koeleenheid)</t>
  </si>
  <si>
    <t>Dit levert een totale hoeveelheid benodigde energie per dag op</t>
  </si>
  <si>
    <t>Voor EV voertuigen is de aanbevolen batterijcapaciteit berekend door uit te gaan van een gewenste (dagelijkse) restcapaciteit</t>
  </si>
  <si>
    <t>De batterij is gekozen door binnen de beschikbare varianten degene met minimaal voldoende capaciteit te kiezen</t>
  </si>
  <si>
    <t>Gewenste restcapaciteit batterij</t>
  </si>
  <si>
    <t>Estimated value of vehicle according to age</t>
  </si>
  <si>
    <t>Age</t>
  </si>
  <si>
    <t>Percentage of value of new vehicle price (%)</t>
  </si>
  <si>
    <t>&gt;10</t>
  </si>
  <si>
    <t>Bruto aankoopprijs [voorstel]</t>
  </si>
  <si>
    <t>Bruto aankoopprijs [gebruiker]</t>
  </si>
  <si>
    <t>Bruto aankoopprijs</t>
  </si>
  <si>
    <t>Opgegeven batterijcapaciteit [gebruiker]</t>
  </si>
  <si>
    <t>Berekende batterijcapaciteit [voorstel]</t>
  </si>
  <si>
    <t>Batterij opties per variant [EV]</t>
  </si>
  <si>
    <t>FCEV variants</t>
  </si>
  <si>
    <t>Waterstof opslag tank [voorstel]</t>
  </si>
  <si>
    <t>Waterstof opslag tank [gebruiker]</t>
  </si>
  <si>
    <t>Meerprijs afwijkende FC voertuigen</t>
  </si>
  <si>
    <t>Batterij</t>
  </si>
  <si>
    <t>Tank</t>
  </si>
  <si>
    <t>Unit</t>
  </si>
  <si>
    <t>Liter</t>
  </si>
  <si>
    <t>meerpijs/unit</t>
  </si>
  <si>
    <t>Als er geen gebruiker input is, wordt berekende waarde overgenomen. Anders gebruikersinput</t>
  </si>
  <si>
    <t>Index</t>
  </si>
  <si>
    <t>Charging type</t>
  </si>
  <si>
    <t>Power</t>
  </si>
  <si>
    <t>Land type</t>
  </si>
  <si>
    <t>Power (kW)</t>
  </si>
  <si>
    <t>Depth of discharge (%)</t>
  </si>
  <si>
    <t>Efficiency (%)</t>
  </si>
  <si>
    <t xml:space="preserve">Purchase &amp; installation (€) </t>
  </si>
  <si>
    <t>Purchase (€)</t>
  </si>
  <si>
    <t>Installation costs (€)</t>
  </si>
  <si>
    <t>Operational costs annual (€)</t>
  </si>
  <si>
    <t>Own energy costs (€)</t>
  </si>
  <si>
    <t>External energy costs (€)</t>
  </si>
  <si>
    <t>AC3,7</t>
  </si>
  <si>
    <t>3,7 kW</t>
  </si>
  <si>
    <t>Privaat</t>
  </si>
  <si>
    <t>AC10</t>
  </si>
  <si>
    <t>10 kW</t>
  </si>
  <si>
    <t>Publiek</t>
  </si>
  <si>
    <t>AC20</t>
  </si>
  <si>
    <t>20 kW</t>
  </si>
  <si>
    <t>FC50</t>
  </si>
  <si>
    <t>50 kW</t>
  </si>
  <si>
    <t>HPC150</t>
  </si>
  <si>
    <t>150 kW</t>
  </si>
  <si>
    <t>HPC350</t>
  </si>
  <si>
    <t>350 kW</t>
  </si>
  <si>
    <t>test</t>
  </si>
  <si>
    <t>Dit is een overgenomen veld</t>
  </si>
  <si>
    <t>Dit is een berekening</t>
  </si>
  <si>
    <t>Waterstof opslag tank [L]</t>
  </si>
  <si>
    <t>Batterijcapaciteit [kWh]</t>
  </si>
  <si>
    <t>Aanschafprijs oplaadsysteem [voorstel]</t>
  </si>
  <si>
    <t>Aanschafprijs oplaadsysteem [gebruiker]</t>
  </si>
  <si>
    <t>Aanschafprijs oplaadsysteem</t>
  </si>
  <si>
    <t>Aanlegprijs oplaadsysteem [voorstel]</t>
  </si>
  <si>
    <t>Aanlegprijs oplaadsysteem [gebruiker]</t>
  </si>
  <si>
    <t>Aanlegprijs oplaadsysteem</t>
  </si>
  <si>
    <t>Grenswaarde opladen batterij</t>
  </si>
  <si>
    <t>Benodigde energie</t>
  </si>
  <si>
    <t>Benodigde laadcapaciteit [kW/u]</t>
  </si>
  <si>
    <t>Aanbevolen systeem</t>
  </si>
  <si>
    <t>Tijd om 's nachts op te laden [uur]</t>
  </si>
  <si>
    <t>voor een lange levensduur van een batterij te hebben is het noodzaak deze nooit 100% op te laden (of te ontladen)</t>
  </si>
  <si>
    <t>Keuze en eigenschappen private laadinfra</t>
  </si>
  <si>
    <t>Keuze en eigenschappen publieke laadinfra</t>
  </si>
  <si>
    <t>Opgegeven laadsysteem [gebruiker]</t>
  </si>
  <si>
    <t>Gebruikt systeem [ID]</t>
  </si>
  <si>
    <t>Gebruikt systeem [Naam]</t>
  </si>
  <si>
    <t>Gebruikt systeem [kW]</t>
  </si>
  <si>
    <t>Y</t>
  </si>
  <si>
    <t>Nederlands</t>
  </si>
  <si>
    <t>English</t>
  </si>
  <si>
    <t>Parameters</t>
  </si>
  <si>
    <t>Omvang bedrijf</t>
  </si>
  <si>
    <t>Maximale steun (% van meerprijs)</t>
  </si>
  <si>
    <t>Toelichting</t>
  </si>
  <si>
    <t>AanZET categorie</t>
  </si>
  <si>
    <t>Maximale steun op grond van EU-staatssteunkalender</t>
  </si>
  <si>
    <t>AanZET categorie verdeling</t>
  </si>
  <si>
    <t>N2</t>
  </si>
  <si>
    <t>N3 Bakwagen</t>
  </si>
  <si>
    <t>N3 Trekker</t>
  </si>
  <si>
    <t>Maximale steun per categorie</t>
  </si>
  <si>
    <t>Belastingsklasse</t>
  </si>
  <si>
    <t>Procent</t>
  </si>
  <si>
    <t>Bovengrens Fiscale winst</t>
  </si>
  <si>
    <t>Gebruikte fiscale winst voor berekening</t>
  </si>
  <si>
    <t>Benodigde gegevens</t>
  </si>
  <si>
    <t>Voertuig categorie</t>
  </si>
  <si>
    <t>Jaartal</t>
  </si>
  <si>
    <t>MIA</t>
  </si>
  <si>
    <t>MIA %</t>
  </si>
  <si>
    <t>AanZET subsidie</t>
  </si>
  <si>
    <t>Meerprijs t.o.v. Dieselvoertuig</t>
  </si>
  <si>
    <t>Algemene subsidie gegevens</t>
  </si>
  <si>
    <t>Max. steun [%]</t>
  </si>
  <si>
    <t>Max. steun [€]</t>
  </si>
  <si>
    <t>Maximale steun</t>
  </si>
  <si>
    <t>MIA (Milieu Investerings Aftrek)</t>
  </si>
  <si>
    <t>Belastingpercentage</t>
  </si>
  <si>
    <t>MIA percentage</t>
  </si>
  <si>
    <t>Fictieve fiscale winst</t>
  </si>
  <si>
    <t>Aftrekpost</t>
  </si>
  <si>
    <t>Fiscaal voordeel MIA</t>
  </si>
  <si>
    <t>Min. Investering</t>
  </si>
  <si>
    <t>Minimale investering</t>
  </si>
  <si>
    <t>MIA (Milieu Investerings Aftrek) Laadpaal</t>
  </si>
  <si>
    <t>Investering voertuig</t>
  </si>
  <si>
    <t>Investering Laadpaal</t>
  </si>
  <si>
    <t>Uiteindelijke subsidie</t>
  </si>
  <si>
    <t>AanZET</t>
  </si>
  <si>
    <t>MIA Laadpaal</t>
  </si>
  <si>
    <t>Als dat wel het geval is, wordt eerst de maximale subsidie aan AanZET toegekend, dan MIA en dan MIA laadpaal</t>
  </si>
  <si>
    <t>Totaal</t>
  </si>
  <si>
    <t>Netto aankoopprijs voertuig</t>
  </si>
  <si>
    <t>De aanname is hier gemaakt dat de aanschaf van een Laadpaal los ingediend wordt en dus meetelt niet voor het maximum per project zoals genoemd op regel 33</t>
  </si>
  <si>
    <t>Als de totale hoeveelheid aan subsidies kleiner is dat de maximale steun gebeurt hier niks nieuws</t>
  </si>
  <si>
    <t>H2 Fuel Costs</t>
  </si>
  <si>
    <t>Type</t>
  </si>
  <si>
    <t>Fuel costs (€/kg)</t>
  </si>
  <si>
    <t>ENERGIEKOSTEN</t>
  </si>
  <si>
    <t>Inkoopprijs energie [voorstel]</t>
  </si>
  <si>
    <t>Inkoopprijs energie [gebruiker]</t>
  </si>
  <si>
    <t>Inkoopprijs energie</t>
  </si>
  <si>
    <t>GEÏNDEXEERDE COËFFICIËNTEN</t>
  </si>
  <si>
    <t>grondvoet</t>
  </si>
  <si>
    <t>Coëfficiënt</t>
  </si>
  <si>
    <t>Dieselprijs (ex btw en accijns)</t>
  </si>
  <si>
    <t>excl. BTW en accijns</t>
  </si>
  <si>
    <t>Dieselaccijns</t>
  </si>
  <si>
    <t>Totale brandstofprijs</t>
  </si>
  <si>
    <t>Kale brandstofprijs</t>
  </si>
  <si>
    <t>excl. BTW</t>
  </si>
  <si>
    <t>Netto inkoopprijs energie</t>
  </si>
  <si>
    <t>Basisjaar</t>
  </si>
  <si>
    <t>Indices</t>
  </si>
  <si>
    <t>Berekening benodigde externe laadinfra voor EV voertuig</t>
  </si>
  <si>
    <t>Berekening benodigde eigen laadinfra voor EV voertuig</t>
  </si>
  <si>
    <t>Maximale hoeveelheid energie</t>
  </si>
  <si>
    <t>Hoeveelheid opgeladen energie</t>
  </si>
  <si>
    <t>Gebruikte waarde</t>
  </si>
  <si>
    <t>Categorie</t>
  </si>
  <si>
    <t>Energieprijs</t>
  </si>
  <si>
    <t>Subcategorie</t>
  </si>
  <si>
    <t>Waterstof</t>
  </si>
  <si>
    <t>Gebruikte batterijcapaciteit</t>
  </si>
  <si>
    <t>Annual depreciation in percentage of new vehicle (%)</t>
  </si>
  <si>
    <t>Depreciation</t>
  </si>
  <si>
    <t>"(100-10%)/A</t>
  </si>
  <si>
    <t>Benodigde externe energie</t>
  </si>
  <si>
    <t>Tijd voor opladen</t>
  </si>
  <si>
    <t>max aantal sessies</t>
  </si>
  <si>
    <t>Aanbevolen systeem [kW]</t>
  </si>
  <si>
    <t>Aanbevolen systeem [Naam]</t>
  </si>
  <si>
    <t>Aanbevolen systeem [ID]</t>
  </si>
  <si>
    <t>Max. tijd per dag opladen extern</t>
  </si>
  <si>
    <t>Max. aantal sessies per dag opladen extern</t>
  </si>
  <si>
    <t>Check validiteit</t>
  </si>
  <si>
    <t>Zelf opladen nacht</t>
  </si>
  <si>
    <t>Kan met de eigen laadinfra benodigde energie binnen nachtperiode geleverd worden?</t>
  </si>
  <si>
    <t>Extern opladen duur</t>
  </si>
  <si>
    <t>Extern opladen capaciteit</t>
  </si>
  <si>
    <t>Kan met de externe laadinfra benodigde energie binnen max tijd voor opladen geleverd worden?</t>
  </si>
  <si>
    <t>Kan met batterijcapaciteit het aantal dagelijkse kms gereden worden met max aantal oplaadsessies per dag?</t>
  </si>
  <si>
    <t>Meenemen</t>
  </si>
  <si>
    <t>Maximale hoeveelheid energie extern op te laden</t>
  </si>
  <si>
    <t>ENERGIEVERBRUIK</t>
  </si>
  <si>
    <t>Energie voor transport / jaar</t>
  </si>
  <si>
    <t>Energie voor koeling / jaar</t>
  </si>
  <si>
    <t>Totaal energiegebruik per jaar</t>
  </si>
  <si>
    <t>Omzettingsverlies</t>
  </si>
  <si>
    <t>kg</t>
  </si>
  <si>
    <t>Transmission power efficiency EV (%)</t>
  </si>
  <si>
    <t>PMc (kg)</t>
  </si>
  <si>
    <t>PM_tire (kg)</t>
  </si>
  <si>
    <t>NOx (kg)</t>
  </si>
  <si>
    <t>Allowed NOx (kg)</t>
  </si>
  <si>
    <t>Reduction of NOx by Adblue (kg)</t>
  </si>
  <si>
    <t>Adblue cost</t>
  </si>
  <si>
    <t>EMISSIES</t>
  </si>
  <si>
    <t>Fuel Emission factors</t>
  </si>
  <si>
    <t>Fuel category ID</t>
  </si>
  <si>
    <t>CO2-eq (kg per unit)</t>
  </si>
  <si>
    <t>PM10 combustion (g per unit)</t>
  </si>
  <si>
    <t>NOx (g per unit)</t>
  </si>
  <si>
    <t>DV NOx</t>
  </si>
  <si>
    <t>PM</t>
  </si>
  <si>
    <t>based on Euro III standards -&gt; to calculate AdBlue</t>
  </si>
  <si>
    <t>based on Euro VI standards</t>
  </si>
  <si>
    <t>Fuel type / Vehicle type</t>
  </si>
  <si>
    <t>WTW CO2-eq (tonnes)</t>
  </si>
  <si>
    <t>Vehicle type</t>
  </si>
  <si>
    <t>PM_wear from tires</t>
  </si>
  <si>
    <t>Tires cost (€/km)</t>
  </si>
  <si>
    <t>Misc. vehicle cost</t>
  </si>
  <si>
    <t>Special transport costs</t>
  </si>
  <si>
    <t>Refrigeration maintenance cost</t>
  </si>
  <si>
    <t>Misc. Operational Parameters</t>
  </si>
  <si>
    <t>Tolheffing</t>
  </si>
  <si>
    <t>ENERGIE EN EMISSIE GEGEVENS VOERTUIGEN</t>
  </si>
  <si>
    <t>FINANCIËLE PARAMETERS</t>
  </si>
  <si>
    <t>Transport fuel cost</t>
  </si>
  <si>
    <t>Refrigeration fuel costs</t>
  </si>
  <si>
    <t>Combined energy costs</t>
  </si>
  <si>
    <t>TOLHEFFING</t>
  </si>
  <si>
    <t>Tolheffing [voorstel]</t>
  </si>
  <si>
    <t>Tolheffing [gebruiker]</t>
  </si>
  <si>
    <t>Percentage snelweg [voorstel]</t>
  </si>
  <si>
    <t>Percentage snelweg [gebruiker]</t>
  </si>
  <si>
    <t>Percentage snelweg</t>
  </si>
  <si>
    <t>Tol</t>
  </si>
  <si>
    <t>Tol toepassen?</t>
  </si>
  <si>
    <t>Tolheffing gaat over de meerprijs tol voor dieselvoertuigen. Vandaar dat dit alleen voor DV is uitgevoerd.</t>
  </si>
  <si>
    <t>Aandeel snelweg</t>
  </si>
  <si>
    <t>Meerprijs tolheffing</t>
  </si>
  <si>
    <t>Benodigd aantal uren voor laden</t>
  </si>
  <si>
    <t>HERNIEUWBARE ENERGIE-EENHEDEN</t>
  </si>
  <si>
    <t>Multiplier EV</t>
  </si>
  <si>
    <t>Multiplier FC</t>
  </si>
  <si>
    <t>Aandeel groene energie 'grijze' stroom</t>
  </si>
  <si>
    <t>Gebruikte energie</t>
  </si>
  <si>
    <t>Omrekenen naar GJ</t>
  </si>
  <si>
    <t>Want 1 HBE = 1GJ</t>
  </si>
  <si>
    <t>Als voor EV geen 100% groene stroom wordt gebruikt, dan mag niet alles worden meegenomen</t>
  </si>
  <si>
    <t>Hoeveelheid hernieuwbare energie</t>
  </si>
  <si>
    <t>Multiplier</t>
  </si>
  <si>
    <t>HBE's</t>
  </si>
  <si>
    <t>HBE's (onafgerond)</t>
  </si>
  <si>
    <t>HBE's moeten altijd naar beneden worden afgerond</t>
  </si>
  <si>
    <t>Waarde HBE</t>
  </si>
  <si>
    <t>Energiewaarde (MJ) per kg H2</t>
  </si>
  <si>
    <t>Afschrijvingstermijn laadinfra [jaar]</t>
  </si>
  <si>
    <t>benodigd aantal L per g NOx reductie</t>
  </si>
  <si>
    <t>Adblue gebruik</t>
  </si>
  <si>
    <t>Efficiëntie van transmissie overdracht</t>
  </si>
  <si>
    <t>per L</t>
  </si>
  <si>
    <t xml:space="preserve">Kosten Adblue </t>
  </si>
  <si>
    <t>Energieverbruik</t>
  </si>
  <si>
    <t>kWh/km</t>
  </si>
  <si>
    <t>g/kWh</t>
  </si>
  <si>
    <t>NOx standaard (Euro VI)</t>
  </si>
  <si>
    <t>OVERHEAD</t>
  </si>
  <si>
    <t>CHAUFFEURSKOSTEN</t>
  </si>
  <si>
    <t>Voertuigscenario</t>
  </si>
  <si>
    <t>Jaar prognose</t>
  </si>
  <si>
    <t xml:space="preserve">Economische levensduur </t>
  </si>
  <si>
    <t>Subsidies</t>
  </si>
  <si>
    <t>Basisprijs energie</t>
  </si>
  <si>
    <t>Stilstand dagen per jaar</t>
  </si>
  <si>
    <t>Column1</t>
  </si>
  <si>
    <t>Voertuig</t>
  </si>
  <si>
    <t>Column3</t>
  </si>
  <si>
    <t>Column4</t>
  </si>
  <si>
    <t>Column5</t>
  </si>
  <si>
    <t>Column6</t>
  </si>
  <si>
    <t>Column7</t>
  </si>
  <si>
    <t>basis 22 3 2022</t>
  </si>
  <si>
    <t>Scenario valide</t>
  </si>
  <si>
    <t>Elektrisch</t>
  </si>
  <si>
    <t>minimaal trucks Vatenfall</t>
  </si>
  <si>
    <t>gemiddeld trucks Vatenfall</t>
  </si>
  <si>
    <t>maximum trucks Vatenfall</t>
  </si>
  <si>
    <t>trekker 440 kW 32451 km zonder sub zonder HBE 1-4-2022</t>
  </si>
  <si>
    <t>scenario 1 1-4-2022</t>
  </si>
  <si>
    <t>scenario 2 1-4-2022</t>
  </si>
  <si>
    <t>scenario 3 1-4-2022</t>
  </si>
  <si>
    <t>scenario 4 1-4-2022</t>
  </si>
  <si>
    <t>Datasetnaam</t>
  </si>
  <si>
    <t>Creatiedatum</t>
  </si>
  <si>
    <t>EIGEN LAAD INFRA</t>
  </si>
  <si>
    <t>Laadcapaciteit syteem [aanbevolen]</t>
  </si>
  <si>
    <t>Laadcapaciteit syteem [gebruiker]</t>
  </si>
  <si>
    <t>Laadcapaciteit syteem</t>
  </si>
  <si>
    <t>Vergelijking Data</t>
  </si>
  <si>
    <t>Select DataSet</t>
  </si>
  <si>
    <t>Outputs</t>
  </si>
  <si>
    <t>Percentage extern (openbaar) Oplaadsysteem</t>
  </si>
  <si>
    <t>Test</t>
  </si>
  <si>
    <t>&lt;naam&gt; + &lt;datum&gt;</t>
  </si>
  <si>
    <t>Opslaan</t>
  </si>
  <si>
    <t>Save</t>
  </si>
  <si>
    <t>Restwaarde</t>
  </si>
  <si>
    <t>Kale dieselprijs</t>
  </si>
  <si>
    <t>Accijns</t>
  </si>
  <si>
    <t>MIA-subsidie laadpaal</t>
  </si>
  <si>
    <t>Toegepaste waarde:</t>
  </si>
  <si>
    <t>Applied value:</t>
  </si>
  <si>
    <t>Geaggregeerd</t>
  </si>
  <si>
    <t>Jaarlijkse verandering (%)</t>
  </si>
  <si>
    <t>Energie prijs</t>
  </si>
  <si>
    <t>Opladen</t>
  </si>
  <si>
    <t>Diesel prijs</t>
  </si>
  <si>
    <t>Aanschaf en installatie</t>
  </si>
  <si>
    <t>Andere</t>
  </si>
  <si>
    <t>Extern opladen</t>
  </si>
  <si>
    <t>JAARLIJKSE VERANDERINGEN</t>
  </si>
  <si>
    <t>Dieselprijs</t>
  </si>
  <si>
    <t>Aanschaf en installatie laadpaal</t>
  </si>
  <si>
    <t>Operationele kosten laadpaal</t>
  </si>
  <si>
    <t>Energiekosten laadpaal AC3,7</t>
  </si>
  <si>
    <t>Energiekosten overige laadpalen</t>
  </si>
  <si>
    <t>Energiekosten extern opladen</t>
  </si>
  <si>
    <t>Batterij prijzen (EV)</t>
  </si>
  <si>
    <t>Factor</t>
  </si>
  <si>
    <t>Batterij prijs</t>
  </si>
  <si>
    <t>Total price</t>
  </si>
  <si>
    <t>BEV (kWh)</t>
  </si>
  <si>
    <t>FCEV (kWh)</t>
  </si>
  <si>
    <t>Year</t>
  </si>
  <si>
    <t>Calculated price</t>
  </si>
  <si>
    <t>Rounded price</t>
  </si>
  <si>
    <t>Hydrogen prices</t>
  </si>
  <si>
    <t>Diesel vehicle</t>
  </si>
  <si>
    <t>-increase by 30% until 2030</t>
  </si>
  <si>
    <t>-increase by 40% until 2050</t>
  </si>
  <si>
    <t>Base vehicle</t>
  </si>
  <si>
    <t>FC kosten (€/kWh)</t>
  </si>
  <si>
    <t>Batterijkosten (€/kWh)</t>
  </si>
  <si>
    <t>Diesel vehicle price</t>
  </si>
  <si>
    <t>Fuel Cell production cost</t>
  </si>
  <si>
    <t>FC productiekosten tov DV</t>
  </si>
  <si>
    <t>Jaarlijkse afname FC productiekosten</t>
  </si>
  <si>
    <t>Jaartal FC kosten = 100%</t>
  </si>
  <si>
    <t>Fuel cell system</t>
  </si>
  <si>
    <t>Fuel cell system per kW</t>
  </si>
  <si>
    <t xml:space="preserve">Total fuel cell price </t>
  </si>
  <si>
    <t>Storage cost price</t>
  </si>
  <si>
    <t>Total storage cost</t>
  </si>
  <si>
    <t>Fuel Cell prijzen (2020-2030) (FC)</t>
  </si>
  <si>
    <t>Fuel Cell prijzen (2030-2040) (FC)</t>
  </si>
  <si>
    <t>H2 tank kosten (per L)</t>
  </si>
  <si>
    <t>H2 tank kosten (2020-2030)</t>
  </si>
  <si>
    <t>H2 tank kosten (2030-2040)</t>
  </si>
  <si>
    <t>1. Buy in Year 0 - which year will it become breakeven</t>
  </si>
  <si>
    <t>2. Buy in Year x - which year will it become cheaper to buy EV</t>
  </si>
  <si>
    <t>Fleet prognosis - vans and trucks</t>
  </si>
  <si>
    <t xml:space="preserve">Ingroeipad report </t>
  </si>
  <si>
    <t xml:space="preserve">Diesel </t>
  </si>
  <si>
    <t>Investment - resale</t>
  </si>
  <si>
    <t>Fixed vehicle cost</t>
  </si>
  <si>
    <t>Energy</t>
  </si>
  <si>
    <t>Maintenance</t>
  </si>
  <si>
    <t>HBE</t>
  </si>
  <si>
    <t>Specific transport cost</t>
  </si>
  <si>
    <t>Charging infra investment</t>
  </si>
  <si>
    <t>Charging infra operational</t>
  </si>
  <si>
    <t>D</t>
  </si>
  <si>
    <t>Investment</t>
  </si>
  <si>
    <t>Electric</t>
  </si>
  <si>
    <t>E</t>
  </si>
  <si>
    <t>subsidy is not included for future vehicles</t>
  </si>
  <si>
    <t>rente, verzekering not correct</t>
  </si>
  <si>
    <t>rente can be same</t>
  </si>
  <si>
    <t>verzekering should increase by a percentage</t>
  </si>
  <si>
    <t>but also change for new vehicles</t>
  </si>
  <si>
    <t>average energy prices should be used in the TCO</t>
  </si>
  <si>
    <t>how do the energy prices change?</t>
  </si>
  <si>
    <t>link - diesel and energy price increase</t>
  </si>
  <si>
    <t>diesel up to 30% - 2029</t>
  </si>
  <si>
    <t xml:space="preserve">by 2030, repair costs are the same as diesel </t>
  </si>
  <si>
    <t>Fuel cell</t>
  </si>
  <si>
    <t>F</t>
  </si>
  <si>
    <t>by 2040 the repair costs are the same as diesel</t>
  </si>
  <si>
    <t>Vehicle</t>
  </si>
  <si>
    <t>AC22</t>
  </si>
  <si>
    <t>22 kW</t>
  </si>
  <si>
    <t>Basis</t>
  </si>
  <si>
    <t>Column2</t>
  </si>
  <si>
    <t>Inputgegevens</t>
  </si>
  <si>
    <t>Berekende gegevens</t>
  </si>
  <si>
    <t>Overzicht aannames TCO/kWh prijs op diverse laadpalen</t>
  </si>
  <si>
    <t>Alle bedragen excl. BTW</t>
  </si>
  <si>
    <t>AC11</t>
  </si>
  <si>
    <t>11 kW</t>
  </si>
  <si>
    <t>privaat</t>
  </si>
  <si>
    <t>index 2022</t>
  </si>
  <si>
    <t>CAPEX, Plaatsing</t>
  </si>
  <si>
    <t>1x16A</t>
  </si>
  <si>
    <t>3x16A</t>
  </si>
  <si>
    <t>3x32A</t>
  </si>
  <si>
    <t xml:space="preserve">Inkoopprijs paal </t>
  </si>
  <si>
    <t>eenmalig</t>
  </si>
  <si>
    <t xml:space="preserve">Purchase price pile </t>
  </si>
  <si>
    <t xml:space="preserve">Locatiebepaling, enginering, proj mgt </t>
  </si>
  <si>
    <t xml:space="preserve">Site identification, enginering, proj mgt </t>
  </si>
  <si>
    <t>Civiele werken/plaatsing</t>
  </si>
  <si>
    <t>Civil works / placement</t>
  </si>
  <si>
    <t>Graaf werk</t>
  </si>
  <si>
    <t>Excavation work</t>
  </si>
  <si>
    <t>Aansluitkosten netbeheerder (!)</t>
  </si>
  <si>
    <t>Connection costs network manager (!)</t>
  </si>
  <si>
    <t>Total</t>
  </si>
  <si>
    <t>Afschrijvingstermijn</t>
  </si>
  <si>
    <t>jaar</t>
  </si>
  <si>
    <t>Depreciation period</t>
  </si>
  <si>
    <t>per jaar</t>
  </si>
  <si>
    <t>OPEX, Operationele kosten</t>
  </si>
  <si>
    <t xml:space="preserve">Periodieke kosten netaansluiting (!)  </t>
  </si>
  <si>
    <t xml:space="preserve">Periodic grid connection costs (!)  </t>
  </si>
  <si>
    <t>Communicatiekosten</t>
  </si>
  <si>
    <t>Communication costs</t>
  </si>
  <si>
    <t>Verzekeringspremie (schade)</t>
  </si>
  <si>
    <t>Insurance premium (damage)</t>
  </si>
  <si>
    <t>Onderhoud/reparatie</t>
  </si>
  <si>
    <t>Maintenance/repair</t>
  </si>
  <si>
    <t>Service bij gebruikersproblemen</t>
  </si>
  <si>
    <t>Service in case of user problems</t>
  </si>
  <si>
    <t>OPEX, Energiekosten</t>
  </si>
  <si>
    <t>Vergoeding leverancier (inkoop)</t>
  </si>
  <si>
    <t>€/kWh</t>
  </si>
  <si>
    <t>Energiebelasting</t>
  </si>
  <si>
    <t xml:space="preserve">Totale kosten </t>
  </si>
  <si>
    <t>"vast" per jaar</t>
  </si>
  <si>
    <t>Energiekosten medium</t>
  </si>
  <si>
    <t>"variabel"per kWh</t>
  </si>
  <si>
    <t>Calculatie voor één voertuig</t>
  </si>
  <si>
    <t>Laadhoeveelheid per jaar (kWh/jaar)</t>
  </si>
  <si>
    <t>laag scenario (suboptimaal gebruik laadinfra)</t>
  </si>
  <si>
    <t>kWh/jaar</t>
  </si>
  <si>
    <t>medium</t>
  </si>
  <si>
    <t>hoog (optimala gebruik laadinfra)</t>
  </si>
  <si>
    <t xml:space="preserve">Laadkosten (euro/kWh) </t>
  </si>
  <si>
    <t>staffel</t>
  </si>
  <si>
    <t>e-belast</t>
  </si>
  <si>
    <t>ODE</t>
  </si>
  <si>
    <t>Kale prijs</t>
  </si>
  <si>
    <t>zone 2</t>
  </si>
  <si>
    <t>10-50 MWh</t>
  </si>
  <si>
    <t>zone 3</t>
  </si>
  <si>
    <t>50-10.000 MWh</t>
  </si>
  <si>
    <t>https://www.belastingdienst.nl/wps/wcm/connect/bldcontentnl/belastingdienst/zakelijk/overige_belastingen/belastingen_op_milieugrondslag/tarieven_milieubelastingen/tabellen_tarieven_milieubelastingen</t>
  </si>
  <si>
    <t xml:space="preserve">norm </t>
  </si>
  <si>
    <t>bij aanleg</t>
  </si>
  <si>
    <t>kW</t>
  </si>
  <si>
    <t>dagen</t>
  </si>
  <si>
    <t>uur/dag</t>
  </si>
  <si>
    <t>maxcap</t>
  </si>
  <si>
    <t>meters grondwerk</t>
  </si>
  <si>
    <t>capaciteit</t>
  </si>
  <si>
    <t>meter</t>
  </si>
  <si>
    <t>afschrijvingstermijn (jaar)</t>
  </si>
  <si>
    <t>Kost per meter grondwerk</t>
  </si>
  <si>
    <t>Energie Diesel [kWh / L]</t>
  </si>
  <si>
    <t>Kleine bakwagen (lvm &lt;12 ton)</t>
  </si>
  <si>
    <t>Medium bakwagen (lvm 12-18 ton)</t>
  </si>
  <si>
    <t>Grote bakwagen (lvm &gt;18 ton)</t>
  </si>
  <si>
    <t>Lichte trekker z/opl (GVW &lt;40 ton)</t>
  </si>
  <si>
    <t>Zware trekker z/opl (GVW &gt;40 ton)</t>
  </si>
  <si>
    <t>&gt;250 fte, &gt;€50 mil omzet</t>
  </si>
  <si>
    <t>&lt;250 fte, &lt;€50 mil omzet</t>
  </si>
  <si>
    <t>&lt;50 fte, &lt;€10 mil omzet</t>
  </si>
  <si>
    <t>Vaste kosten registratie (per jaar)</t>
  </si>
  <si>
    <t>AdBlue</t>
  </si>
  <si>
    <t>Emissie</t>
  </si>
  <si>
    <t>Catalogus</t>
  </si>
  <si>
    <t>ONDERHOUD</t>
  </si>
  <si>
    <t>Reparaties [voorstel]</t>
  </si>
  <si>
    <t>Reparaties [gebruiker]</t>
  </si>
  <si>
    <t>Reparaties</t>
  </si>
  <si>
    <t>Jaarlijkse reparaties</t>
  </si>
  <si>
    <t>Electrolysis (renewable energy)</t>
  </si>
  <si>
    <t>Electrolysis (grid-average)</t>
  </si>
  <si>
    <t>Blauw</t>
  </si>
  <si>
    <t>Electrolyse (netstroom)</t>
  </si>
  <si>
    <t>Electrolyse (hernieuwbare energie)</t>
  </si>
  <si>
    <t>Jaarkilometrage</t>
  </si>
  <si>
    <t>n.v.t.</t>
  </si>
  <si>
    <t>€/km</t>
  </si>
  <si>
    <t>€/jaar</t>
  </si>
  <si>
    <t>€/ton</t>
  </si>
  <si>
    <t>Col. No</t>
  </si>
  <si>
    <t>Dataset Name</t>
  </si>
  <si>
    <t>BASIC INPUT DATA</t>
  </si>
  <si>
    <t>VEHICLE SYSTEM DEPLOYMENT DATA</t>
  </si>
  <si>
    <t>Dieselvoertuig</t>
  </si>
  <si>
    <t xml:space="preserve">Elektrisch voertuig </t>
  </si>
  <si>
    <t>Electric vehicle</t>
  </si>
  <si>
    <t>Hydrogen vehicle</t>
  </si>
  <si>
    <t>Cooling Unit (Y/N)</t>
  </si>
  <si>
    <t>Expected annual mileage</t>
  </si>
  <si>
    <t>Grey/green electricity</t>
  </si>
  <si>
    <t>Grey/green hydrogen</t>
  </si>
  <si>
    <t>Legal form and tax rate</t>
  </si>
  <si>
    <t>Base year forecast</t>
  </si>
  <si>
    <t>Size of company</t>
  </si>
  <si>
    <t xml:space="preserve">Economic life </t>
  </si>
  <si>
    <t xml:space="preserve">Residual value </t>
  </si>
  <si>
    <t>Productive hours per year</t>
  </si>
  <si>
    <t>Cost of repairs</t>
  </si>
  <si>
    <t>Downtime days per year</t>
  </si>
  <si>
    <t>Power of own charging system (kW)</t>
  </si>
  <si>
    <t xml:space="preserve">Truck battery capacity (kWh) </t>
  </si>
  <si>
    <t>Hydrogen storage tank (kg)</t>
  </si>
  <si>
    <t>PURCHASE PRICE</t>
  </si>
  <si>
    <t xml:space="preserve">Gross purchase price </t>
  </si>
  <si>
    <t>APPROVAL subsidy (40% surcharge)</t>
  </si>
  <si>
    <t>Net purchase price</t>
  </si>
  <si>
    <t xml:space="preserve">Gross costs for purchasing charging system </t>
  </si>
  <si>
    <t xml:space="preserve"> Gross costs for installation of charging system </t>
  </si>
  <si>
    <t>Net costs for purchase and installation of charging system</t>
  </si>
  <si>
    <t>ENERGY PURCHASE PRICE</t>
  </si>
  <si>
    <t xml:space="preserve">Basic energy price </t>
  </si>
  <si>
    <t>Energy subsidy</t>
  </si>
  <si>
    <t>Fuel price (excl. VAT)</t>
  </si>
  <si>
    <t>Balance of tolls on trucks</t>
  </si>
  <si>
    <t>Share of freeway kilometers</t>
  </si>
  <si>
    <t>Fixed ZE-Vehicle levy</t>
  </si>
  <si>
    <t>CO2 price</t>
  </si>
  <si>
    <t>Number of HBEs</t>
  </si>
  <si>
    <t>Flat rate</t>
  </si>
  <si>
    <t>Value per HBE</t>
  </si>
  <si>
    <t>Total value of HBEs</t>
  </si>
  <si>
    <t>Apply subsidy (Y/N)</t>
  </si>
  <si>
    <t>Hydrogen: euro/kg</t>
  </si>
  <si>
    <t>Dieselprice: euro/l</t>
  </si>
  <si>
    <t>Elektriciteit: euro/kWh</t>
  </si>
  <si>
    <t>Electricity: euro/kWh</t>
  </si>
  <si>
    <t>Diesel Vehicle Taxes</t>
  </si>
  <si>
    <t>Include in Calculation</t>
  </si>
  <si>
    <t>€/year</t>
  </si>
  <si>
    <t>Renewable Fuel Units (HBEs in Dutch)</t>
  </si>
  <si>
    <t>RESULTS</t>
  </si>
  <si>
    <t>Scenario technically possible (valid)/not possible</t>
  </si>
  <si>
    <t>Own charging system</t>
  </si>
  <si>
    <t>Public charging system</t>
  </si>
  <si>
    <t>Percentage of own charging system</t>
  </si>
  <si>
    <t>Percentage of external (public) charging system</t>
  </si>
  <si>
    <t>Total cost per year</t>
  </si>
  <si>
    <t>Total cost per km</t>
  </si>
  <si>
    <t>Total cost per hour</t>
  </si>
  <si>
    <t>Emissions (total per year for the selected vehicle)</t>
  </si>
  <si>
    <t>CO2 emissions (tons per year, WtW)</t>
  </si>
  <si>
    <t>PM total (kg per year, TtW)</t>
  </si>
  <si>
    <t>NOx (kg per year, TtW)</t>
  </si>
  <si>
    <t>SUBSTANTIATION OF COST CALCULATION</t>
  </si>
  <si>
    <t>Fixed costs per year</t>
  </si>
  <si>
    <t>Eurovignette</t>
  </si>
  <si>
    <t>Interest</t>
  </si>
  <si>
    <t>Insurance</t>
  </si>
  <si>
    <t>Vehicle tax</t>
  </si>
  <si>
    <t>Miscellaneous other vehicle costs</t>
  </si>
  <si>
    <t>a: Total fixed vehicle costs per year</t>
  </si>
  <si>
    <t>Variable costs per year</t>
  </si>
  <si>
    <t>Vehicle depreciation</t>
  </si>
  <si>
    <t>Fuel consumption vehicle</t>
  </si>
  <si>
    <t>Fuel consumption cooling</t>
  </si>
  <si>
    <t>Electricity consumption</t>
  </si>
  <si>
    <t>H2 consumption</t>
  </si>
  <si>
    <t>Adblue consumption</t>
  </si>
  <si>
    <t>Tires</t>
  </si>
  <si>
    <t>Repair</t>
  </si>
  <si>
    <t>Repair/Maintenance cooling unit</t>
  </si>
  <si>
    <t>Difference Tolls (km-rate)</t>
  </si>
  <si>
    <t>Renewable Fuel Units</t>
  </si>
  <si>
    <t xml:space="preserve">Specific transport costs </t>
  </si>
  <si>
    <t>b: Total variable vehicle costs per year</t>
  </si>
  <si>
    <t>Charging system costs per year</t>
  </si>
  <si>
    <t>Purchase and installation</t>
  </si>
  <si>
    <t>Operational costs</t>
  </si>
  <si>
    <t>c: Total charging system costs per year</t>
  </si>
  <si>
    <t xml:space="preserve">Total vehicle and charging system costs per year (a+b+c) </t>
  </si>
  <si>
    <t>Total vehicle and charging system cost per km: (a+b+c)/kms per year</t>
  </si>
  <si>
    <t>Total vehicle and charging system costs per hour (a+b+c)/hours per year</t>
  </si>
  <si>
    <t>Driver costs</t>
  </si>
  <si>
    <t>Hourly wage incl. social security</t>
  </si>
  <si>
    <t>Accommodation allowance</t>
  </si>
  <si>
    <t>Other costs</t>
  </si>
  <si>
    <t>d: Total driver costs per year</t>
  </si>
  <si>
    <t>Total direct costs per year (a+b+c+d)</t>
  </si>
  <si>
    <t>Total direct costs per km: (a+b+c+d)/kms per year</t>
  </si>
  <si>
    <t>Total direct costs per hour (a+b+c+d)/hours per year</t>
  </si>
  <si>
    <t>General costs (overhead)</t>
  </si>
  <si>
    <t>Wages incl. social charges</t>
  </si>
  <si>
    <t>Housing</t>
  </si>
  <si>
    <t>Other</t>
  </si>
  <si>
    <t>e: Total overhead per year</t>
  </si>
  <si>
    <t xml:space="preserve">The default values used in TCO Freight have been compiled with the greatest care. However, these are average figures; the actual figures may be either higher or lower. Although great care was taken to ensure the correctness of the calculation rules and the input data used, Panteia or Top Sector Logistics cannot be held liable for the correctness of the calculation results. </t>
  </si>
  <si>
    <t>Voorwoord</t>
  </si>
  <si>
    <t>Het kostprijsmodel “TCO-ZET-Vracht” is in opdracht van Topsector Logistiek en het Ministerie van I&amp;W door Panteia gebouwd en wordt door haar vervolgens onderhouden. Bij de ontwikkeling van dit TCO-model is gekozen voor een open en transparante opzet. Dit betekent dat helder is welke rekenregels zijn toegepast en welke waarde van de default data als uitgangswaarde is gehanteerd. Het TCO-model wordt mede onderschreven door RAI, evofenedex en TLN.</t>
  </si>
  <si>
    <t xml:space="preserve"> -  0  -  0  -  0  -  0  -
</t>
  </si>
  <si>
    <t xml:space="preserve">Het gebruik </t>
  </si>
  <si>
    <t xml:space="preserve">De opzet van het TCO-Vracht is zo eenvoudig als mogelijk gehouden. Dit houdt in dat het TCO-Vracht op basis van een beperkte input reeds onderbouwde rekenresultaten produceert. Wel moet het veld “Enable Content” (soms) worden aangeklikt om gebruik te kunnen maken van voor de berekeningen noodzakelijke “Macros”. 
</t>
  </si>
  <si>
    <t>Defaultwaarden</t>
  </si>
  <si>
    <t xml:space="preserve">Bij een groot aantal (input-) gegevens is in het TCO-Vracht reeds een defaultwaarde ingevuld. Deze defaultwaarde (=standaardwaarde) is gebaseerd op gegevens uit de transportwereld. Veel van deze gegevens kunnen naar eigen inzicht veranderd worden met een eigen getal door gebruik te maken van een aantal “knoppen”. Bij deze knoppen is telkens de gebruikte defaultwaarde weergegeven. Overigens, met de resetknop: “Start nieuwe berekening”, wordt teruggegaan naar de oorspronkelijke (default-) waarden. 
</t>
  </si>
  <si>
    <t>Resultaten</t>
  </si>
  <si>
    <t xml:space="preserve">De rekenresultaten worden kolomsgewijs getoond voor telkens een elektrische, een brandstofcel en een dieselvariant van een voertuig met vergelijkbare transportkarakteristieken. De verwachte jaarkilometrage van het geselecteerde voertuig is een bepalend getal. Op basis hiervan worden niet alleen de kosten en emissies berekend maar wordt bijvoorbeeld ook een advies gegeven over optimale capaciteit van de batterij en het vermogen van het oplaadsysteem. </t>
  </si>
  <si>
    <t xml:space="preserve">Emissies </t>
  </si>
  <si>
    <t xml:space="preserve">Hoewel het een kostprijsmodel betreft, worden tevens de emissies (WtW) van een aantal vervuilende stoffen van het geselecteerde voertuig berekend. Het betreft daarbij CO2, NOx en PMx. Het ligt voor de hand dat er met (batterij of brandstofcel) elektrische voertuigen op groene stroom c.q. groene waterstof gereden wordt. Wanneer dit om een of andere reden niet mogelijk is, kan bijvoorbeeld “grijze elektriciteit” worden geselecteerd. Er wordt in dat geval gerekend met (de uitstoot van) de Nederlandse elektriciteitsmix. 
</t>
  </si>
  <si>
    <t>Nieuwe versies</t>
  </si>
  <si>
    <t xml:space="preserve">De ontwikkelingen met betrekking tot de energietransitie volgen elkaar in een hoog tempo op. Niet alleen verandert de defaultwaarde van de inputgegevens bijvoorbeeld in de vorm van prijsdalingen, ook komen er regelmatig nieuwe voertuigklassen beschikbaar. Om te zorgen dat het TCO-Vracht zo actueel mogelijk blijft, worden er daarom periodiek updates gemaakt. Deze nieuwe versies van het model worden vervolgens gratis ter beschikking gesteld. 
</t>
  </si>
  <si>
    <t xml:space="preserve">Veel zorg is besteed aan de correctheid van de rekenregels en de gebruikte inputdata c.q. defaultwaarden. Panteia of de Topsector Logistiek zijn echter niet aansprakelijk te houden voor de juistheid van de rekenresultaten. Deze kunnen ofwel lager dan wel hoger zijn. 
</t>
  </si>
  <si>
    <t>Contact</t>
  </si>
  <si>
    <t xml:space="preserve">Indien u vragen hebt dan kunt u deze bij voorkeur verzenden naar: 
TCO-Vracht@panteia.nl
</t>
  </si>
  <si>
    <t xml:space="preserve">Disclaimer </t>
  </si>
  <si>
    <t>Preface</t>
  </si>
  <si>
    <t xml:space="preserve"> The cost price model "TCO-ZET-Vracht" was built by Panteia on behalf of Top Sector Logistics and the Ministry of I&amp;W and is subsequently maintained by it. In the development of this TCO-model an open and transparent approach has been chosen. This means that it is clear which calculation rules have been applied and which value of the default data has been used as a starting value. The TCO model is also endorsed by RAI, evofenedex and TLN.</t>
  </si>
  <si>
    <t>The most important change with respect to version 2 concerns a shift of the base year from 2021 to 2022.
It should be mentioned that it has proved challenging to establish sufficiently substantiated changes as the (price) developments in the energy and transport market are subject to strong fluctuations.
The implemented increase in key items is as follows:
- Catalog price of diesel vehicles: + 15%.
- List price of BEV and FCEV: + 3%.
- Interest rate 3.93% (2021: 2.65% ).
- Insurance rate 3.22% (2021: 3.00%).
- Diesel price (default): 1.92 euros/liter (incl. reduced excise duty, excl. VAT).
- Electricity price (default): 0.12 euro/kWh (Zone 3, excl. VAT).</t>
  </si>
  <si>
    <t xml:space="preserve">Usage </t>
  </si>
  <si>
    <t xml:space="preserve">The design of the TCO-Freight has been kept as simple as possible. This means that the TCO-Force already produces substantiated calculation results based on a limited input. However, the field Enable Content" must (sometimes) be clicked in order to be able to use "Macros" necessary for the calculations. </t>
  </si>
  <si>
    <t>Default values</t>
  </si>
  <si>
    <t xml:space="preserve">For a large number of (input) data, a default value has already been entered in TCO-Freight. This default value (=standard value) is based on data from the transport world. Many of these data can be changed at one's own discretion with one's own number by using a number of buttons". The default value used is always shown with these buttons. By the way, with the reset button: "Start new calculation", the original (default) values are returned to. </t>
  </si>
  <si>
    <t>Results</t>
  </si>
  <si>
    <t xml:space="preserve">The calculation results are shown columnwise for each of an electric, a fuel cell and a diesel variant of a vehicle with similar transport characteristics. The expected annual mileage of the selected vehicle is a decisive figure. On this basis, not only the costs and emissions are calculated but also, for example, advice is given on the optimum capacity of the battery and the power of the charging system. </t>
  </si>
  <si>
    <t xml:space="preserve">Emissions </t>
  </si>
  <si>
    <t xml:space="preserve">Although it is a cost model, it also calculates the emissions (WtW) of a number of pollutants of the selected vehicle. This concerns CO2, NOx and PMx. It is obvious that (battery or fuel cell) electric vehicles are driven on green electricity or green hydrogen. If, for some reason, this is not possible, then grey electricity" can be selected, for example. In that case (the emissions of) the Dutch electricity mix is used. </t>
  </si>
  <si>
    <t>New versions</t>
  </si>
  <si>
    <t xml:space="preserve">The developments related to the energy transition follow each other in rapid succession. Not only does the default value of the input data change, for example in the form of price drops, but also new vehicle classes regularly become available. To ensure that TCO-Freight remains as current as possible, updates are therefore made periodically. These new versions of the model are then made available free of charge. _x000D_
</t>
  </si>
  <si>
    <t xml:space="preserve">Great care has been taken to ensure the correctness of the calculation rules and the input data used or default values. However, Panteia or Top Sector Logistics cannot be held liable for the accuracy of the calculation results. These can be either lower or higher. _x000D_
</t>
  </si>
  <si>
    <t xml:space="preserve">If you have any questions, please send them to: _x000D_
TCO-Vracht@panteia.nl_x000D_
</t>
  </si>
  <si>
    <t>Let op:
Na 2025 kunnen er maatregelen van kracht worden die de economische levensduur van dieselvoertuigen verkorten.</t>
  </si>
  <si>
    <t xml:space="preserve">Let op:   
Het verdienen van HBE’s is aan strenge regels onderworpen.  
Er wordt 2.000 euro per jaar in rekening gebracht voor kosten die gemaakt moeten worden om HBE's te innen.
</t>
  </si>
  <si>
    <t xml:space="preserve">Please Note:  
Earning HBEs is subject to strict rules.  
There is a charge of 2,000 euros per year for costs incurred to collect HBEs.
</t>
  </si>
  <si>
    <t xml:space="preserve">Let op:   
Het budget van de AanZET-subsidie voor het jaar 2022 is reeds uitgeput.  
</t>
  </si>
  <si>
    <t xml:space="preserve">Please Note:   
The AanZET grant budget for the year 2022 has already been exhausted.  </t>
  </si>
  <si>
    <t>[km/year]</t>
  </si>
  <si>
    <t>Start new calculation</t>
  </si>
  <si>
    <t>Start nieuwe berekening</t>
  </si>
  <si>
    <t>&lt;name&gt; + &lt;date&gt;</t>
  </si>
  <si>
    <t>MIA-subsidy</t>
  </si>
  <si>
    <t>excl. VAT and excise duty</t>
  </si>
  <si>
    <t>excl. VAT</t>
  </si>
  <si>
    <t>Hydrogen vehicle (FCEV)</t>
  </si>
  <si>
    <t>Electric vehicle (BEV)</t>
  </si>
  <si>
    <t>Elektrisch voertuig (BEV)</t>
  </si>
  <si>
    <t>version 4.0</t>
  </si>
  <si>
    <t>Default value</t>
  </si>
  <si>
    <t>Choice 1</t>
  </si>
  <si>
    <t>Choice 2</t>
  </si>
  <si>
    <t>Choice 3</t>
  </si>
  <si>
    <t>choice 4</t>
  </si>
  <si>
    <t>choice 5</t>
  </si>
  <si>
    <t>choice 6</t>
  </si>
  <si>
    <t>choice 7</t>
  </si>
  <si>
    <t>choice 8</t>
  </si>
  <si>
    <t>choice 9</t>
  </si>
  <si>
    <t>choice 10</t>
  </si>
  <si>
    <t>choice 11</t>
  </si>
  <si>
    <t>choice 12</t>
  </si>
  <si>
    <t>choice 13</t>
  </si>
  <si>
    <t>choice 14</t>
  </si>
  <si>
    <t>choice 15</t>
  </si>
  <si>
    <t>Large truck (lvm &gt;18 tons)</t>
  </si>
  <si>
    <t>no cooling unit</t>
  </si>
  <si>
    <t>cooling unit</t>
  </si>
  <si>
    <t>BV or NV with 25.8% tax</t>
  </si>
  <si>
    <t>Sole proprietorship with 37.07% tax</t>
  </si>
  <si>
    <t>Sole proprietorship with 49.5% tax</t>
  </si>
  <si>
    <t>Medium</t>
  </si>
  <si>
    <t>Small</t>
  </si>
  <si>
    <t>The following values are also default values</t>
  </si>
  <si>
    <t>Green</t>
  </si>
  <si>
    <t>BV or NV with 15% tax</t>
  </si>
  <si>
    <t>Large</t>
  </si>
  <si>
    <t>The table below contains all the vehicle variants and characteristics</t>
  </si>
  <si>
    <t>Small Truck</t>
  </si>
  <si>
    <t>Medium size truck</t>
  </si>
  <si>
    <t>Large truck</t>
  </si>
  <si>
    <t>Heavy duty tractor unit</t>
  </si>
  <si>
    <t>Small Truck (lvm &lt;12 tons)</t>
  </si>
  <si>
    <t>Medium size truck (LVM 12-18 tons)</t>
  </si>
  <si>
    <t>Heavy duty tractor (GVW &gt;40 tons)</t>
  </si>
  <si>
    <t>Light tractor (GVW &lt;40 tons)</t>
  </si>
  <si>
    <t>Light tractor z/pl</t>
  </si>
  <si>
    <t>Diesel price (ex VAT and excise)</t>
  </si>
  <si>
    <t>Diesel excise duty</t>
  </si>
  <si>
    <t>Total diesel price</t>
  </si>
  <si>
    <t>Apply HBE (Y/N)</t>
  </si>
  <si>
    <t>Please Note:
After 2025, measures may take effect that shorten the economic life of diesel vehicles.</t>
  </si>
  <si>
    <t>EV Optimal mix</t>
  </si>
  <si>
    <t>BASIC ASSUMPTIONS</t>
  </si>
  <si>
    <t>Taal/Language:</t>
  </si>
  <si>
    <t>*Vul alle velden hierboven in of klik 'Start nieuwe berekening' voor een correcte berekening!</t>
  </si>
  <si>
    <t>*Fill out all fields above or click 'Start new calculation' for a correct calculation!</t>
  </si>
  <si>
    <t>Selecteer DataSet</t>
  </si>
  <si>
    <t>Scenario validiteit</t>
  </si>
  <si>
    <t>Compare Data</t>
  </si>
  <si>
    <t>Vehiclescenario</t>
  </si>
  <si>
    <t>Hydrogen</t>
  </si>
  <si>
    <t>Creationdate</t>
  </si>
  <si>
    <t>Prognose year</t>
  </si>
  <si>
    <t>Economic lifespan</t>
  </si>
  <si>
    <t>Days per year of downtime</t>
  </si>
  <si>
    <t>Baseprice energy</t>
  </si>
  <si>
    <t>Scenario validity</t>
  </si>
  <si>
    <t xml:space="preserve">De belangrijkste wijziging ten opzichte van versie 2 betreft een verlegging van het basisjaar van 2021 naar 2022.
Gemeld moet worden dat het uitdagend is gebleken om voldoende onderbouwde veranderingen vast te stellen daar de (prijs-) ontwikkelingen in de energie- en transportmarkt aan sterke fluctuaties onderhevig zijn.
De doorgevoerde verhoging van belangrijke posten is als volgt:
- Catalogusprijs van dieselvoertuigen: + 15%.
- Catalogusprijs van BEV en FCEV: + 3%.
- Rentepercentage 3,93% (2021: 2,65% ).
- Verzekeringspercentage 3,22% (2021: 3,00%).
- Dieselprijs (default): 1,92 euro/liter (incl. verlaagde accijns, excl. btw).
- Elektriciteitsprijs (default): 0,12 euro/kWh (Zone 3, excl. btw).
</t>
  </si>
  <si>
    <t xml:space="preserve">Overige aanpassingen:
- Bij FCEV wordt uitsluitend de waarde van HBE's berekend in geval van groene elektrolyse.
- Ten behoeve van de berekening van de subsidiebedragen is een vraag over de bedrijfsgrootte toegevoegd.
- TCO-vracht is nu beschikbaar in het Nederlands en het Engels. Om van taal te switchen kan linksboven in de readme een keuze gemaakt worden.
</t>
  </si>
  <si>
    <t>Other adjustments:
- For FCEV, the value of HBEs is calculated only in case of green electrolysis.
- For the purpose of calculating subsidy amounts, a question about company size has been added.
- The TCO tool is now available in both Dutch and English. To switch language use the language option at the top of the readme page.</t>
  </si>
  <si>
    <t>Overhead</t>
  </si>
  <si>
    <t>Speciaal voor Koeling</t>
  </si>
  <si>
    <t>Koeling</t>
  </si>
  <si>
    <t>Cooling</t>
  </si>
  <si>
    <t>Een koeling is enkel relevant voor bakwagens. Voor trekkers worden daarom geen (energie)kosten voor koeling meegenomen.</t>
  </si>
  <si>
    <t>A cooling unit is only relevant for trucks. For tractors no (energy)costs for cooling are taken into account.</t>
  </si>
  <si>
    <t>Aandeel koelunit actief t.o.v. productieve uren [%]</t>
  </si>
  <si>
    <t>Koel unit</t>
  </si>
  <si>
    <t>Cooling unit</t>
  </si>
  <si>
    <t>Koel unit Kleine bakwagen</t>
  </si>
  <si>
    <t>Koel unit Medium bakwagen</t>
  </si>
  <si>
    <t>Koel unit Grote bakwagen</t>
  </si>
  <si>
    <t>Cooling unit Small Truck</t>
  </si>
  <si>
    <t>Cooling unit Medium size truck</t>
  </si>
  <si>
    <t>Cooling unit Large truck</t>
  </si>
  <si>
    <t>Pas batterijtype aan</t>
  </si>
  <si>
    <t>Change battery value</t>
  </si>
  <si>
    <t>https://zakelijkeenergietarieven.nl/grootverbruik-energie/</t>
  </si>
  <si>
    <t>Nieuw in TCO-ZET-Vracht versie 4.0 (d.d. 19-9-2022):</t>
  </si>
  <si>
    <t>New in TCO-ZET-Vracht version 4.0 (d.d. 19-9-2022):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</si>
</sst>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5" formatCode="&quot;€&quot;\ #,##0;&quot;€&quot;\ \-#,##0"/>
    <numFmt numFmtId="7" formatCode="&quot;€&quot;\ #,##0.00;&quot;€&quot;\ \-#,##0.00"/>
    <numFmt numFmtId="42" formatCode="_ &quot;€&quot;\ * #,##0_ ;_ &quot;€&quot;\ * \-#,##0_ ;_ &quot;€&quot;\ * &quot;-&quot;_ ;_ @_ "/>
    <numFmt numFmtId="44" formatCode="_ &quot;€&quot;\ * #,##0.00_ ;_ &quot;€&quot;\ * \-#,##0.00_ ;_ &quot;€&quot;\ * &quot;-&quot;??_ ;_ @_ "/>
    <numFmt numFmtId="43" formatCode="_ * #,##0.00_ ;_ * \-#,##0.00_ ;_ * &quot;-&quot;??_ ;_ @_ "/>
    <numFmt numFmtId="164" formatCode="_(&quot;€&quot;* #,##0_);_(&quot;€&quot;* \(#,##0\);_(&quot;€&quot;* &quot;-&quot;_);_(@_)"/>
    <numFmt numFmtId="165" formatCode="_(* #,##0_);_(* \(#,##0\);_(* &quot;-&quot;_);_(@_)"/>
    <numFmt numFmtId="166" formatCode="&quot;€&quot;\ #,##0"/>
    <numFmt numFmtId="167" formatCode="0\ &quot;kW&quot;"/>
    <numFmt numFmtId="168" formatCode="0\ &quot;kWh&quot;"/>
    <numFmt numFmtId="169" formatCode="0\ &quot;kg&quot;"/>
    <numFmt numFmtId="170" formatCode="_(&quot;€&quot;* #,##0.00_);_(&quot;€&quot;* \(#,##0.00\);_(&quot;€&quot;* &quot;-&quot;??_);_(@_)"/>
    <numFmt numFmtId="171" formatCode="&quot;€&quot;\ #,##0.00"/>
    <numFmt numFmtId="172" formatCode="_(* #,##0.00_);_(* \(#,##0.00\);_(* &quot;-&quot;??_);_(@_)"/>
    <numFmt numFmtId="173" formatCode="0.0%"/>
    <numFmt numFmtId="174" formatCode="_ &quot;€&quot;\ * #,##0_ ;_ &quot;€&quot;\ * \-#,##0_ ;_ &quot;€&quot;\ * &quot;-&quot;??_ ;_ @_ "/>
    <numFmt numFmtId="175" formatCode="0.000"/>
    <numFmt numFmtId="176" formatCode="_ [$€-413]\ * #,##0.00_ ;_ [$€-413]\ * \-#,##0.00_ ;_ [$€-413]\ * &quot;-&quot;??_ ;_ @_ "/>
    <numFmt numFmtId="177" formatCode="_ [$€-413]\ * #,##0_ ;_ [$€-413]\ * \-#,##0_ ;_ [$€-413]\ * &quot;-&quot;??_ ;_ @_ "/>
    <numFmt numFmtId="178" formatCode="_ &quot;€&quot;\ * #,##0.0000_ ;_ &quot;€&quot;\ * \-#,##0.0000_ ;_ &quot;€&quot;\ * &quot;-&quot;??_ ;_ @_ "/>
    <numFmt numFmtId="179" formatCode="_ * #,##0_ ;_ * \-#,##0_ ;_ * &quot;-&quot;??_ ;_ @_ "/>
    <numFmt numFmtId="180" formatCode="_ &quot;€&quot;\ * #,##0.000_ ;_ &quot;€&quot;\ * \-#,##0.000_ ;_ &quot;€&quot;\ * &quot;-&quot;???_ ;_ @_ "/>
  </numFmts>
  <fonts count="48" x14ac:knownFonts="1">
    <font>
      <sz val="8.5"/>
      <color theme="1"/>
      <name val="Verdana"/>
      <family val="2"/>
    </font>
    <font>
      <sz val="8.5"/>
      <color theme="1"/>
      <name val="Verdana"/>
      <family val="2"/>
    </font>
    <font>
      <b/>
      <sz val="8.5"/>
      <color theme="1"/>
      <name val="Verdana"/>
      <family val="2"/>
    </font>
    <font>
      <sz val="8.5"/>
      <color theme="1"/>
      <name val="Verdana"/>
      <family val="2"/>
      <charset val="1"/>
    </font>
    <font>
      <sz val="8"/>
      <color theme="1"/>
      <name val="Calibri"/>
      <family val="2"/>
    </font>
    <font>
      <b/>
      <sz val="12"/>
      <color theme="1"/>
      <name val="Verdana"/>
      <family val="2"/>
    </font>
    <font>
      <b/>
      <sz val="10"/>
      <color theme="1"/>
      <name val="Arial"/>
      <family val="2"/>
    </font>
    <font>
      <b/>
      <sz val="10"/>
      <color theme="0"/>
      <name val="Arial"/>
      <family val="2"/>
    </font>
    <font>
      <sz val="8.5"/>
      <color rgb="FF3F3F76"/>
      <name val="Verdana"/>
      <family val="2"/>
      <charset val="1"/>
    </font>
    <font>
      <b/>
      <sz val="8.5"/>
      <name val="Verdana"/>
      <family val="2"/>
    </font>
    <font>
      <sz val="8"/>
      <color rgb="FF3F3F76"/>
      <name val="Verdana"/>
      <family val="2"/>
      <charset val="1"/>
    </font>
    <font>
      <b/>
      <sz val="8.5"/>
      <color rgb="FF3F3F76"/>
      <name val="Verdana"/>
      <family val="2"/>
    </font>
    <font>
      <sz val="8.5"/>
      <color theme="0"/>
      <name val="Verdana"/>
      <family val="2"/>
      <charset val="1"/>
    </font>
    <font>
      <b/>
      <sz val="8.5"/>
      <color theme="1"/>
      <name val="Verdana"/>
      <family val="2"/>
      <charset val="1"/>
    </font>
    <font>
      <sz val="8.5"/>
      <name val="Verdana"/>
      <family val="2"/>
      <charset val="1"/>
    </font>
    <font>
      <sz val="8.5"/>
      <color theme="9" tint="0.79998168889431442"/>
      <name val="Verdana"/>
      <family val="2"/>
      <charset val="1"/>
    </font>
    <font>
      <b/>
      <sz val="8.5"/>
      <color theme="0"/>
      <name val="Verdana"/>
      <family val="2"/>
    </font>
    <font>
      <i/>
      <sz val="8.5"/>
      <color theme="1"/>
      <name val="Verdana"/>
      <family val="2"/>
    </font>
    <font>
      <i/>
      <sz val="8"/>
      <color theme="1"/>
      <name val="Verdana"/>
      <family val="2"/>
    </font>
    <font>
      <b/>
      <sz val="8.5"/>
      <color rgb="FF3F3F3F"/>
      <name val="Verdana"/>
      <family val="2"/>
    </font>
    <font>
      <b/>
      <sz val="8.5"/>
      <color rgb="FFFA7D00"/>
      <name val="Verdana"/>
      <family val="2"/>
    </font>
    <font>
      <b/>
      <sz val="8"/>
      <color theme="1"/>
      <name val="Verdana"/>
      <family val="2"/>
    </font>
    <font>
      <sz val="8"/>
      <color theme="1"/>
      <name val="Verdana"/>
      <family val="2"/>
    </font>
    <font>
      <b/>
      <sz val="9"/>
      <name val="Calibri Light"/>
      <family val="2"/>
      <scheme val="major"/>
    </font>
    <font>
      <b/>
      <sz val="8.5"/>
      <color theme="9" tint="0.79998168889431442"/>
      <name val="Verdana"/>
      <family val="2"/>
    </font>
    <font>
      <b/>
      <sz val="9"/>
      <color theme="1"/>
      <name val="Arial"/>
      <family val="2"/>
    </font>
    <font>
      <sz val="10"/>
      <color theme="1"/>
      <name val="Arial"/>
      <family val="2"/>
    </font>
    <font>
      <sz val="11"/>
      <color theme="1"/>
      <name val="Calibri"/>
      <family val="2"/>
      <scheme val="minor"/>
    </font>
    <font>
      <b/>
      <sz val="14"/>
      <color theme="1"/>
      <name val="Arial"/>
      <family val="2"/>
    </font>
    <font>
      <sz val="10"/>
      <name val="Arial"/>
      <family val="2"/>
    </font>
    <font>
      <sz val="11"/>
      <color rgb="FF006100"/>
      <name val="Calibri"/>
      <family val="2"/>
      <scheme val="minor"/>
    </font>
    <font>
      <sz val="11"/>
      <color theme="0"/>
      <name val="Calibri"/>
      <family val="2"/>
      <scheme val="minor"/>
    </font>
    <font>
      <b/>
      <sz val="11"/>
      <color rgb="FF3F3F3F"/>
      <name val="Calibri"/>
      <family val="2"/>
      <scheme val="minor"/>
    </font>
    <font>
      <sz val="10"/>
      <color rgb="FF3F3F3F"/>
      <name val="Arial"/>
      <family val="2"/>
    </font>
    <font>
      <sz val="8.5"/>
      <color theme="0"/>
      <name val="Verdana"/>
      <family val="2"/>
    </font>
    <font>
      <u/>
      <sz val="8.5"/>
      <color theme="10"/>
      <name val="Verdana"/>
      <family val="2"/>
      <charset val="1"/>
    </font>
    <font>
      <sz val="8.5"/>
      <color rgb="FF3F3F76"/>
      <name val="Verdana"/>
      <family val="2"/>
    </font>
    <font>
      <sz val="8"/>
      <color theme="1"/>
      <name val="Verdana"/>
      <family val="2"/>
      <charset val="1"/>
    </font>
    <font>
      <b/>
      <u/>
      <sz val="13"/>
      <color theme="1"/>
      <name val="Calibri"/>
      <family val="2"/>
    </font>
    <font>
      <b/>
      <u/>
      <sz val="13"/>
      <color theme="1"/>
      <name val="Calibri"/>
      <family val="2"/>
      <scheme val="minor"/>
    </font>
    <font>
      <sz val="13"/>
      <color theme="1"/>
      <name val="Calibri"/>
      <family val="2"/>
      <scheme val="minor"/>
    </font>
    <font>
      <b/>
      <sz val="13"/>
      <color theme="1"/>
      <name val="Calibri"/>
      <family val="2"/>
      <scheme val="minor"/>
    </font>
    <font>
      <b/>
      <sz val="8.5"/>
      <color rgb="FF000000"/>
      <name val="Verdana"/>
      <family val="2"/>
    </font>
    <font>
      <sz val="11"/>
      <color theme="1"/>
      <name val="Arial"/>
      <family val="2"/>
    </font>
    <font>
      <b/>
      <sz val="8.5"/>
      <color rgb="FFFF0000"/>
      <name val="Verdana"/>
      <family val="2"/>
    </font>
    <font>
      <sz val="11"/>
      <color rgb="FF3F3F76"/>
      <name val="Verdana"/>
      <family val="2"/>
      <charset val="1"/>
    </font>
    <font>
      <sz val="8.5"/>
      <name val="Verdana"/>
      <family val="2"/>
    </font>
    <font>
      <b/>
      <sz val="8.5"/>
      <color rgb="FFC00000"/>
      <name val="Verdana"/>
      <family val="2"/>
    </font>
  </fonts>
  <fills count="37">
    <fill>
      <patternFill patternType="none"/>
    </fill>
    <fill>
      <patternFill patternType="gray125"/>
    </fill>
    <fill>
      <patternFill patternType="solid">
        <fgColor rgb="FFFFCC9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9" tint="0.79998168889431442"/>
        <bgColor indexed="65"/>
      </patternFill>
    </fill>
    <fill>
      <patternFill patternType="solid">
        <fgColor theme="0"/>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DDEBF7"/>
        <bgColor rgb="FF000000"/>
      </patternFill>
    </fill>
    <fill>
      <patternFill patternType="solid">
        <fgColor theme="4" tint="0.59996337778862885"/>
        <bgColor indexed="64"/>
      </patternFill>
    </fill>
    <fill>
      <patternFill patternType="solid">
        <fgColor rgb="FFF2F2F2"/>
      </patternFill>
    </fill>
    <fill>
      <patternFill patternType="solid">
        <fgColor theme="6" tint="0.79998168889431442"/>
        <bgColor indexed="65"/>
      </patternFill>
    </fill>
    <fill>
      <patternFill patternType="solid">
        <fgColor theme="7"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FFCC"/>
      </patternFill>
    </fill>
    <fill>
      <patternFill patternType="solid">
        <fgColor theme="4"/>
      </patternFill>
    </fill>
    <fill>
      <patternFill patternType="solid">
        <fgColor theme="1" tint="0.499984740745262"/>
        <bgColor indexed="64"/>
      </patternFill>
    </fill>
    <fill>
      <patternFill patternType="solid">
        <fgColor theme="8" tint="-0.249977111117893"/>
        <bgColor indexed="64"/>
      </patternFill>
    </fill>
    <fill>
      <patternFill patternType="solid">
        <fgColor rgb="FFF8FEDA"/>
        <bgColor indexed="64"/>
      </patternFill>
    </fill>
    <fill>
      <patternFill patternType="solid">
        <fgColor rgb="FFF2F2F2"/>
        <bgColor indexed="64"/>
      </patternFill>
    </fill>
    <fill>
      <patternFill patternType="solid">
        <fgColor rgb="FFFFC000"/>
        <bgColor indexed="64"/>
      </patternFill>
    </fill>
    <fill>
      <patternFill patternType="solid">
        <fgColor theme="7"/>
      </patternFill>
    </fill>
    <fill>
      <patternFill patternType="solid">
        <fgColor rgb="FF92D050"/>
        <bgColor indexed="64"/>
      </patternFill>
    </fill>
    <fill>
      <patternFill patternType="solid">
        <fgColor theme="4" tint="0.59999389629810485"/>
        <bgColor indexed="64"/>
      </patternFill>
    </fill>
    <fill>
      <patternFill patternType="solid">
        <fgColor rgb="FF00B0F0"/>
        <bgColor indexed="64"/>
      </patternFill>
    </fill>
    <fill>
      <patternFill patternType="solid">
        <fgColor theme="9" tint="0.79998168889431442"/>
        <bgColor rgb="FF000000"/>
      </patternFill>
    </fill>
    <fill>
      <patternFill patternType="solid">
        <fgColor rgb="FFFFFFCC"/>
        <bgColor indexed="64"/>
      </patternFill>
    </fill>
  </fills>
  <borders count="68">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rgb="FF7F7F7F"/>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indexed="64"/>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auto="1"/>
      </left>
      <right style="medium">
        <color auto="1"/>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s>
  <cellStyleXfs count="34">
    <xf numFmtId="0" fontId="0" fillId="0" borderId="0"/>
    <xf numFmtId="0" fontId="3" fillId="0" borderId="0"/>
    <xf numFmtId="0" fontId="8" fillId="2" borderId="1" applyNumberFormat="0" applyAlignment="0" applyProtection="0"/>
    <xf numFmtId="165" fontId="3" fillId="0" borderId="0" applyFont="0" applyFill="0" applyBorder="0" applyAlignment="0" applyProtection="0"/>
    <xf numFmtId="164" fontId="3" fillId="0" borderId="0" applyFont="0" applyFill="0" applyBorder="0" applyAlignment="0" applyProtection="0"/>
    <xf numFmtId="170" fontId="3" fillId="0" borderId="0" applyFont="0" applyFill="0" applyBorder="0" applyAlignment="0" applyProtection="0"/>
    <xf numFmtId="9" fontId="3" fillId="0" borderId="0" applyFont="0" applyFill="0" applyBorder="0" applyAlignment="0" applyProtection="0"/>
    <xf numFmtId="172" fontId="3" fillId="0" borderId="0" applyFont="0" applyFill="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9" fillId="18" borderId="22" applyNumberFormat="0" applyAlignment="0" applyProtection="0"/>
    <xf numFmtId="0" fontId="20" fillId="18" borderId="1" applyNumberFormat="0" applyAlignment="0" applyProtection="0"/>
    <xf numFmtId="0" fontId="1" fillId="0" borderId="0"/>
    <xf numFmtId="0" fontId="3" fillId="19" borderId="0" applyNumberFormat="0" applyBorder="0" applyAlignment="0" applyProtection="0"/>
    <xf numFmtId="0" fontId="27" fillId="0" borderId="0"/>
    <xf numFmtId="0" fontId="27" fillId="24" borderId="26" applyNumberFormat="0" applyFont="0" applyAlignment="0" applyProtection="0"/>
    <xf numFmtId="0" fontId="30" fillId="23" borderId="0" applyNumberFormat="0" applyBorder="0" applyAlignment="0" applyProtection="0"/>
    <xf numFmtId="0" fontId="31" fillId="25" borderId="0" applyNumberFormat="0" applyBorder="0" applyAlignment="0" applyProtection="0"/>
    <xf numFmtId="0" fontId="27" fillId="3" borderId="0" applyNumberFormat="0" applyBorder="0" applyAlignment="0" applyProtection="0"/>
    <xf numFmtId="0" fontId="32" fillId="18" borderId="22" applyNumberFormat="0" applyAlignment="0" applyProtection="0"/>
    <xf numFmtId="0" fontId="1" fillId="0" borderId="0"/>
    <xf numFmtId="9" fontId="27" fillId="0" borderId="0" applyFont="0" applyFill="0" applyBorder="0" applyAlignment="0" applyProtection="0"/>
    <xf numFmtId="42" fontId="1" fillId="0" borderId="0" applyFont="0" applyFill="0" applyBorder="0" applyAlignment="0" applyProtection="0"/>
    <xf numFmtId="44" fontId="1" fillId="0" borderId="0" applyFont="0" applyFill="0" applyBorder="0" applyAlignment="0" applyProtection="0"/>
    <xf numFmtId="0" fontId="34" fillId="31" borderId="0" applyNumberFormat="0" applyBorder="0" applyAlignment="0" applyProtection="0"/>
    <xf numFmtId="43" fontId="1" fillId="0" borderId="0" applyFont="0" applyFill="0" applyBorder="0" applyAlignment="0" applyProtection="0"/>
    <xf numFmtId="0" fontId="35" fillId="0" borderId="0" applyNumberFormat="0" applyFill="0" applyBorder="0" applyAlignment="0" applyProtection="0"/>
    <xf numFmtId="0" fontId="36" fillId="2" borderId="1" applyNumberFormat="0" applyAlignment="0" applyProtection="0"/>
    <xf numFmtId="0" fontId="43" fillId="0" borderId="0"/>
  </cellStyleXfs>
  <cellXfs count="559">
    <xf numFmtId="0" fontId="0" fillId="0" borderId="0" xfId="0"/>
    <xf numFmtId="0" fontId="3" fillId="8" borderId="3" xfId="1" applyFill="1" applyBorder="1" applyProtection="1">
      <protection locked="0"/>
    </xf>
    <xf numFmtId="0" fontId="3" fillId="8" borderId="4" xfId="1" applyFill="1" applyBorder="1" applyProtection="1">
      <protection locked="0"/>
    </xf>
    <xf numFmtId="0" fontId="3" fillId="0" borderId="0" xfId="1" applyProtection="1">
      <protection locked="0"/>
    </xf>
    <xf numFmtId="0" fontId="3" fillId="8" borderId="5" xfId="1" applyFill="1" applyBorder="1" applyProtection="1">
      <protection locked="0"/>
    </xf>
    <xf numFmtId="0" fontId="3" fillId="8" borderId="0" xfId="1" applyFill="1" applyBorder="1" applyProtection="1">
      <protection locked="0"/>
    </xf>
    <xf numFmtId="0" fontId="3" fillId="8" borderId="6" xfId="1" applyFill="1" applyBorder="1" applyProtection="1">
      <protection locked="0"/>
    </xf>
    <xf numFmtId="0" fontId="3" fillId="8" borderId="0" xfId="1" applyFont="1" applyFill="1" applyBorder="1" applyProtection="1">
      <protection locked="0"/>
    </xf>
    <xf numFmtId="0" fontId="5" fillId="9" borderId="2" xfId="1" applyFont="1" applyFill="1" applyBorder="1" applyProtection="1">
      <protection locked="0"/>
    </xf>
    <xf numFmtId="0" fontId="2" fillId="9" borderId="3" xfId="1" applyFont="1" applyFill="1" applyBorder="1" applyProtection="1">
      <protection locked="0"/>
    </xf>
    <xf numFmtId="0" fontId="2" fillId="11" borderId="4" xfId="1" applyFont="1" applyFill="1" applyBorder="1" applyProtection="1">
      <protection locked="0"/>
    </xf>
    <xf numFmtId="0" fontId="2" fillId="9" borderId="5" xfId="1" applyFont="1" applyFill="1" applyBorder="1" applyProtection="1">
      <protection locked="0"/>
    </xf>
    <xf numFmtId="0" fontId="2" fillId="9" borderId="0" xfId="1" applyFont="1" applyFill="1" applyBorder="1" applyProtection="1">
      <protection locked="0"/>
    </xf>
    <xf numFmtId="14" fontId="2" fillId="9" borderId="0" xfId="1" applyNumberFormat="1" applyFont="1" applyFill="1" applyBorder="1" applyProtection="1">
      <protection locked="0"/>
    </xf>
    <xf numFmtId="0" fontId="2" fillId="11" borderId="6" xfId="1" applyFont="1" applyFill="1" applyBorder="1" applyProtection="1">
      <protection locked="0"/>
    </xf>
    <xf numFmtId="0" fontId="2" fillId="12" borderId="2" xfId="1" applyFont="1" applyFill="1" applyBorder="1" applyProtection="1">
      <protection locked="0"/>
    </xf>
    <xf numFmtId="0" fontId="2" fillId="12" borderId="3" xfId="1" applyFont="1" applyFill="1" applyBorder="1" applyProtection="1">
      <protection locked="0"/>
    </xf>
    <xf numFmtId="0" fontId="2" fillId="12" borderId="10" xfId="1" applyFont="1" applyFill="1" applyBorder="1" applyProtection="1">
      <protection locked="0"/>
    </xf>
    <xf numFmtId="0" fontId="2" fillId="12" borderId="11" xfId="1" applyFont="1" applyFill="1" applyBorder="1" applyProtection="1">
      <protection locked="0"/>
    </xf>
    <xf numFmtId="0" fontId="2" fillId="12" borderId="12" xfId="1" applyFont="1" applyFill="1" applyBorder="1" applyProtection="1">
      <protection locked="0"/>
    </xf>
    <xf numFmtId="0" fontId="3" fillId="13" borderId="2" xfId="1" applyFill="1" applyBorder="1" applyProtection="1">
      <protection locked="0"/>
    </xf>
    <xf numFmtId="0" fontId="3" fillId="13" borderId="3" xfId="1" applyFill="1" applyBorder="1" applyProtection="1">
      <protection locked="0"/>
    </xf>
    <xf numFmtId="0" fontId="3" fillId="13" borderId="4" xfId="1" applyFill="1" applyBorder="1" applyProtection="1">
      <protection locked="0"/>
    </xf>
    <xf numFmtId="0" fontId="3" fillId="13" borderId="5" xfId="1" applyFill="1" applyBorder="1" applyAlignment="1" applyProtection="1">
      <alignment horizontal="right"/>
      <protection locked="0"/>
    </xf>
    <xf numFmtId="0" fontId="2" fillId="13" borderId="0" xfId="1" applyFont="1" applyFill="1" applyBorder="1" applyProtection="1">
      <protection locked="0"/>
    </xf>
    <xf numFmtId="0" fontId="3" fillId="13" borderId="6" xfId="1" applyFill="1" applyBorder="1" applyProtection="1">
      <protection locked="0"/>
    </xf>
    <xf numFmtId="164" fontId="3" fillId="0" borderId="0" xfId="1" applyNumberFormat="1" applyProtection="1">
      <protection locked="0"/>
    </xf>
    <xf numFmtId="0" fontId="2" fillId="13" borderId="5" xfId="1" applyFont="1" applyFill="1" applyBorder="1" applyAlignment="1" applyProtection="1">
      <alignment horizontal="right"/>
      <protection locked="0"/>
    </xf>
    <xf numFmtId="0" fontId="8" fillId="2" borderId="1" xfId="2" applyAlignment="1" applyProtection="1">
      <alignment horizontal="center"/>
      <protection locked="0"/>
    </xf>
    <xf numFmtId="0" fontId="2" fillId="13" borderId="5" xfId="1" applyFont="1" applyFill="1" applyBorder="1" applyAlignment="1" applyProtection="1">
      <alignment horizontal="left"/>
      <protection locked="0"/>
    </xf>
    <xf numFmtId="0" fontId="3" fillId="0" borderId="0" xfId="1"/>
    <xf numFmtId="0" fontId="8" fillId="2" borderId="1" xfId="2" applyBorder="1" applyAlignment="1" applyProtection="1">
      <alignment horizontal="center"/>
      <protection locked="0"/>
    </xf>
    <xf numFmtId="165" fontId="8" fillId="2" borderId="1" xfId="3" applyFont="1" applyFill="1" applyBorder="1" applyAlignment="1" applyProtection="1">
      <alignment horizontal="center"/>
      <protection locked="0"/>
    </xf>
    <xf numFmtId="0" fontId="3" fillId="13" borderId="0" xfId="1" applyFill="1" applyBorder="1" applyProtection="1">
      <protection locked="0"/>
    </xf>
    <xf numFmtId="0" fontId="2" fillId="13" borderId="0" xfId="1" applyFont="1" applyFill="1" applyBorder="1" applyAlignment="1" applyProtection="1">
      <alignment horizontal="right"/>
      <protection locked="0"/>
    </xf>
    <xf numFmtId="0" fontId="3" fillId="13" borderId="5" xfId="1" applyFill="1" applyBorder="1" applyProtection="1">
      <protection locked="0"/>
    </xf>
    <xf numFmtId="0" fontId="2" fillId="13" borderId="6" xfId="1" applyFont="1" applyFill="1" applyBorder="1" applyProtection="1">
      <protection locked="0"/>
    </xf>
    <xf numFmtId="164" fontId="11" fillId="2" borderId="1" xfId="4" applyFont="1" applyFill="1" applyBorder="1" applyAlignment="1" applyProtection="1">
      <alignment horizontal="center"/>
      <protection locked="0"/>
    </xf>
    <xf numFmtId="0" fontId="2" fillId="13" borderId="0" xfId="1" applyFont="1" applyFill="1" applyBorder="1" applyAlignment="1" applyProtection="1">
      <alignment horizontal="center"/>
      <protection locked="0"/>
    </xf>
    <xf numFmtId="0" fontId="3" fillId="13" borderId="0" xfId="1" applyFill="1" applyBorder="1" applyAlignment="1" applyProtection="1">
      <alignment horizontal="right"/>
      <protection locked="0"/>
    </xf>
    <xf numFmtId="44" fontId="3" fillId="0" borderId="0" xfId="1" applyNumberFormat="1" applyProtection="1">
      <protection locked="0"/>
    </xf>
    <xf numFmtId="0" fontId="12" fillId="13" borderId="0" xfId="1" applyFont="1" applyFill="1" applyBorder="1" applyProtection="1">
      <protection locked="0"/>
    </xf>
    <xf numFmtId="0" fontId="2" fillId="13" borderId="14" xfId="1" applyFont="1" applyFill="1" applyBorder="1" applyAlignment="1" applyProtection="1">
      <alignment horizontal="center"/>
      <protection locked="0"/>
    </xf>
    <xf numFmtId="164" fontId="11" fillId="2" borderId="15" xfId="4" applyFont="1" applyFill="1" applyBorder="1" applyAlignment="1" applyProtection="1">
      <alignment horizontal="center"/>
      <protection locked="0"/>
    </xf>
    <xf numFmtId="171" fontId="8" fillId="2" borderId="1" xfId="7" applyNumberFormat="1" applyFont="1" applyFill="1" applyBorder="1" applyAlignment="1" applyProtection="1">
      <alignment horizontal="center"/>
      <protection locked="0"/>
    </xf>
    <xf numFmtId="172" fontId="8" fillId="13" borderId="0" xfId="7" applyFont="1" applyFill="1" applyBorder="1" applyProtection="1">
      <protection locked="0"/>
    </xf>
    <xf numFmtId="171" fontId="8" fillId="2" borderId="15" xfId="5" applyNumberFormat="1" applyFont="1" applyFill="1" applyBorder="1" applyAlignment="1" applyProtection="1">
      <alignment horizontal="center"/>
      <protection locked="0"/>
    </xf>
    <xf numFmtId="0" fontId="3" fillId="13" borderId="10" xfId="1" applyFill="1" applyBorder="1" applyProtection="1">
      <protection locked="0"/>
    </xf>
    <xf numFmtId="0" fontId="3" fillId="13" borderId="11" xfId="1" applyFill="1" applyBorder="1" applyProtection="1">
      <protection locked="0"/>
    </xf>
    <xf numFmtId="0" fontId="3" fillId="13" borderId="9" xfId="1" applyFill="1" applyBorder="1" applyProtection="1">
      <protection locked="0"/>
    </xf>
    <xf numFmtId="0" fontId="3" fillId="13" borderId="21" xfId="1" applyFill="1" applyBorder="1" applyProtection="1">
      <protection locked="0"/>
    </xf>
    <xf numFmtId="0" fontId="2" fillId="12" borderId="10" xfId="1" applyFont="1" applyFill="1" applyBorder="1" applyProtection="1"/>
    <xf numFmtId="0" fontId="3" fillId="12" borderId="11" xfId="1" applyFill="1" applyBorder="1" applyProtection="1"/>
    <xf numFmtId="0" fontId="3" fillId="14" borderId="3" xfId="1" applyFill="1" applyBorder="1" applyProtection="1"/>
    <xf numFmtId="0" fontId="3" fillId="17" borderId="3" xfId="1" applyFill="1" applyBorder="1" applyAlignment="1" applyProtection="1">
      <alignment horizontal="center"/>
    </xf>
    <xf numFmtId="0" fontId="3" fillId="13" borderId="0" xfId="1" applyFill="1" applyBorder="1" applyAlignment="1" applyProtection="1">
      <alignment horizontal="left"/>
      <protection locked="0"/>
    </xf>
    <xf numFmtId="0" fontId="3" fillId="17" borderId="9" xfId="1" applyFill="1" applyBorder="1" applyAlignment="1" applyProtection="1">
      <alignment horizontal="center"/>
    </xf>
    <xf numFmtId="0" fontId="3" fillId="13" borderId="5" xfId="1" applyFont="1" applyFill="1" applyBorder="1" applyProtection="1"/>
    <xf numFmtId="0" fontId="3" fillId="13" borderId="0" xfId="1" applyFill="1" applyBorder="1" applyProtection="1"/>
    <xf numFmtId="0" fontId="3" fillId="13" borderId="0" xfId="1" applyFill="1" applyBorder="1" applyAlignment="1" applyProtection="1">
      <alignment horizontal="center"/>
    </xf>
    <xf numFmtId="0" fontId="3" fillId="17" borderId="3" xfId="1" applyFill="1" applyBorder="1" applyAlignment="1" applyProtection="1">
      <alignment horizontal="center" vertical="center" wrapText="1"/>
    </xf>
    <xf numFmtId="0" fontId="3" fillId="0" borderId="0" xfId="1" quotePrefix="1" applyProtection="1">
      <protection locked="0"/>
    </xf>
    <xf numFmtId="0" fontId="3" fillId="17" borderId="0" xfId="1" quotePrefix="1" applyFill="1" applyBorder="1" applyAlignment="1" applyProtection="1">
      <alignment horizontal="center"/>
    </xf>
    <xf numFmtId="0" fontId="0" fillId="13" borderId="5" xfId="8" applyFont="1" applyFill="1" applyBorder="1" applyProtection="1"/>
    <xf numFmtId="166" fontId="3" fillId="13" borderId="0" xfId="1" applyNumberFormat="1" applyFill="1" applyBorder="1" applyAlignment="1" applyProtection="1">
      <alignment horizontal="center"/>
    </xf>
    <xf numFmtId="166" fontId="3" fillId="17" borderId="3" xfId="1" applyNumberFormat="1" applyFill="1" applyBorder="1" applyAlignment="1" applyProtection="1">
      <alignment horizontal="center"/>
    </xf>
    <xf numFmtId="171" fontId="0" fillId="17" borderId="0" xfId="5" applyNumberFormat="1" applyFont="1" applyFill="1" applyBorder="1" applyAlignment="1" applyProtection="1">
      <alignment horizontal="center"/>
    </xf>
    <xf numFmtId="171" fontId="0" fillId="17" borderId="9" xfId="5" applyNumberFormat="1" applyFont="1" applyFill="1" applyBorder="1" applyAlignment="1" applyProtection="1">
      <alignment horizontal="center"/>
    </xf>
    <xf numFmtId="0" fontId="3" fillId="17" borderId="3" xfId="1" applyFill="1" applyBorder="1" applyProtection="1"/>
    <xf numFmtId="0" fontId="0" fillId="13" borderId="5" xfId="10" applyFont="1" applyFill="1" applyBorder="1" applyProtection="1"/>
    <xf numFmtId="9" fontId="0" fillId="13" borderId="0" xfId="6" applyFont="1" applyFill="1" applyBorder="1" applyAlignment="1" applyProtection="1">
      <alignment horizontal="right"/>
      <protection locked="0"/>
    </xf>
    <xf numFmtId="166" fontId="0" fillId="17" borderId="0" xfId="4" applyNumberFormat="1" applyFont="1" applyFill="1" applyBorder="1" applyAlignment="1" applyProtection="1">
      <alignment horizontal="center"/>
    </xf>
    <xf numFmtId="166" fontId="0" fillId="17" borderId="9" xfId="4" applyNumberFormat="1" applyFont="1" applyFill="1" applyBorder="1" applyAlignment="1" applyProtection="1">
      <alignment horizontal="center"/>
    </xf>
    <xf numFmtId="164" fontId="15" fillId="13" borderId="5" xfId="4" applyFont="1" applyFill="1" applyBorder="1" applyProtection="1"/>
    <xf numFmtId="164" fontId="0" fillId="13" borderId="0" xfId="4" applyFont="1" applyFill="1" applyBorder="1" applyProtection="1"/>
    <xf numFmtId="164" fontId="0" fillId="17" borderId="3" xfId="4" applyFont="1" applyFill="1" applyBorder="1" applyProtection="1"/>
    <xf numFmtId="166" fontId="0" fillId="17" borderId="3" xfId="4" applyNumberFormat="1" applyFont="1" applyFill="1" applyBorder="1" applyAlignment="1" applyProtection="1">
      <alignment horizontal="center"/>
    </xf>
    <xf numFmtId="0" fontId="15" fillId="13" borderId="5" xfId="1" applyFont="1" applyFill="1" applyBorder="1" applyProtection="1"/>
    <xf numFmtId="0" fontId="3" fillId="13" borderId="0" xfId="1" applyFont="1" applyFill="1" applyBorder="1" applyProtection="1"/>
    <xf numFmtId="0" fontId="3" fillId="17" borderId="3" xfId="1" applyFont="1" applyFill="1" applyBorder="1" applyProtection="1"/>
    <xf numFmtId="0" fontId="3" fillId="13" borderId="19" xfId="1" applyFont="1" applyFill="1" applyBorder="1" applyProtection="1"/>
    <xf numFmtId="0" fontId="3" fillId="13" borderId="9" xfId="1" applyFill="1" applyBorder="1" applyProtection="1"/>
    <xf numFmtId="0" fontId="3" fillId="13" borderId="9" xfId="1" applyFont="1" applyFill="1" applyBorder="1" applyProtection="1"/>
    <xf numFmtId="3" fontId="8" fillId="2" borderId="1" xfId="3" applyNumberFormat="1" applyFont="1" applyFill="1" applyBorder="1" applyAlignment="1" applyProtection="1">
      <alignment horizontal="center"/>
      <protection locked="0"/>
    </xf>
    <xf numFmtId="3" fontId="0" fillId="0" borderId="0" xfId="0" applyNumberFormat="1"/>
    <xf numFmtId="0" fontId="16" fillId="0" borderId="5" xfId="1" applyFont="1" applyFill="1" applyBorder="1" applyAlignment="1" applyProtection="1">
      <alignment horizontal="right"/>
      <protection locked="0"/>
    </xf>
    <xf numFmtId="1" fontId="8" fillId="2" borderId="1" xfId="3" applyNumberFormat="1" applyFont="1" applyFill="1" applyBorder="1" applyAlignment="1" applyProtection="1">
      <alignment horizontal="center"/>
      <protection locked="0"/>
    </xf>
    <xf numFmtId="166" fontId="8" fillId="2" borderId="1" xfId="4" applyNumberFormat="1" applyFont="1" applyFill="1" applyBorder="1" applyAlignment="1" applyProtection="1">
      <alignment horizontal="center"/>
      <protection locked="0"/>
    </xf>
    <xf numFmtId="174" fontId="0" fillId="0" borderId="0" xfId="13" applyNumberFormat="1" applyFont="1"/>
    <xf numFmtId="1" fontId="0" fillId="0" borderId="0" xfId="0" applyNumberFormat="1"/>
    <xf numFmtId="0" fontId="17" fillId="0" borderId="0" xfId="0" applyFont="1"/>
    <xf numFmtId="0" fontId="2" fillId="0" borderId="0" xfId="0" applyFont="1"/>
    <xf numFmtId="44" fontId="0" fillId="0" borderId="0" xfId="13" applyFont="1"/>
    <xf numFmtId="0" fontId="0" fillId="0" borderId="0" xfId="0" applyAlignment="1">
      <alignment wrapText="1"/>
    </xf>
    <xf numFmtId="175" fontId="0" fillId="0" borderId="0" xfId="0" applyNumberFormat="1"/>
    <xf numFmtId="2" fontId="0" fillId="0" borderId="0" xfId="0" applyNumberFormat="1"/>
    <xf numFmtId="0" fontId="0" fillId="0" borderId="0" xfId="0" applyAlignment="1">
      <alignment horizontal="right"/>
    </xf>
    <xf numFmtId="175" fontId="0" fillId="0" borderId="0" xfId="0" applyNumberFormat="1" applyAlignment="1">
      <alignment horizontal="right"/>
    </xf>
    <xf numFmtId="9" fontId="0" fillId="0" borderId="0" xfId="14" applyFont="1"/>
    <xf numFmtId="9" fontId="0" fillId="0" borderId="0" xfId="6" applyFont="1"/>
    <xf numFmtId="0" fontId="0" fillId="0" borderId="0" xfId="0" applyAlignment="1"/>
    <xf numFmtId="0" fontId="19" fillId="18" borderId="22" xfId="15"/>
    <xf numFmtId="0" fontId="20" fillId="18" borderId="1" xfId="16"/>
    <xf numFmtId="174" fontId="19" fillId="18" borderId="22" xfId="15" applyNumberFormat="1"/>
    <xf numFmtId="2" fontId="19" fillId="18" borderId="22" xfId="15" applyNumberFormat="1"/>
    <xf numFmtId="2" fontId="20" fillId="18" borderId="1" xfId="16" applyNumberFormat="1"/>
    <xf numFmtId="3" fontId="19" fillId="18" borderId="22" xfId="15" applyNumberFormat="1"/>
    <xf numFmtId="1" fontId="19" fillId="18" borderId="22" xfId="15" applyNumberFormat="1"/>
    <xf numFmtId="44" fontId="20" fillId="18" borderId="1" xfId="13" applyFont="1" applyFill="1" applyBorder="1"/>
    <xf numFmtId="0" fontId="18" fillId="0" borderId="0" xfId="0" applyFont="1" applyFill="1"/>
    <xf numFmtId="174" fontId="20" fillId="18" borderId="1" xfId="16" applyNumberFormat="1"/>
    <xf numFmtId="176" fontId="0" fillId="0" borderId="0" xfId="0" applyNumberFormat="1"/>
    <xf numFmtId="177" fontId="0" fillId="0" borderId="0" xfId="0" applyNumberFormat="1"/>
    <xf numFmtId="0" fontId="2" fillId="0" borderId="0" xfId="0" applyFont="1" applyFill="1"/>
    <xf numFmtId="0" fontId="18" fillId="0" borderId="0" xfId="0" applyFont="1" applyFill="1" applyBorder="1"/>
    <xf numFmtId="0" fontId="21" fillId="0" borderId="0" xfId="0" applyFont="1" applyFill="1" applyBorder="1"/>
    <xf numFmtId="44" fontId="19" fillId="18" borderId="22" xfId="13" applyFont="1" applyFill="1" applyBorder="1"/>
    <xf numFmtId="174" fontId="20" fillId="18" borderId="1" xfId="13" applyNumberFormat="1" applyFont="1" applyFill="1" applyBorder="1"/>
    <xf numFmtId="0" fontId="2" fillId="13" borderId="0" xfId="1" applyFont="1" applyFill="1" applyBorder="1" applyAlignment="1" applyProtection="1">
      <alignment horizontal="center"/>
      <protection locked="0"/>
    </xf>
    <xf numFmtId="0" fontId="22" fillId="0" borderId="0" xfId="17" applyFont="1"/>
    <xf numFmtId="0" fontId="0" fillId="0" borderId="0" xfId="0" applyFont="1"/>
    <xf numFmtId="10" fontId="0" fillId="0" borderId="0" xfId="14" applyNumberFormat="1" applyFont="1"/>
    <xf numFmtId="9" fontId="0" fillId="0" borderId="0" xfId="0" applyNumberFormat="1"/>
    <xf numFmtId="44" fontId="0" fillId="0" borderId="0" xfId="0" applyNumberFormat="1"/>
    <xf numFmtId="44" fontId="20" fillId="18" borderId="1" xfId="16" applyNumberFormat="1"/>
    <xf numFmtId="44" fontId="19" fillId="18" borderId="22" xfId="15" applyNumberFormat="1"/>
    <xf numFmtId="10" fontId="20" fillId="18" borderId="1" xfId="16" applyNumberFormat="1"/>
    <xf numFmtId="9" fontId="20" fillId="18" borderId="1" xfId="16" applyNumberFormat="1"/>
    <xf numFmtId="171" fontId="8" fillId="2" borderId="1" xfId="2" applyNumberFormat="1" applyAlignment="1" applyProtection="1">
      <alignment horizontal="center"/>
      <protection locked="0"/>
    </xf>
    <xf numFmtId="7" fontId="8" fillId="2" borderId="1" xfId="13" applyNumberFormat="1" applyFont="1" applyFill="1" applyBorder="1" applyAlignment="1" applyProtection="1">
      <alignment horizontal="center"/>
      <protection locked="0"/>
    </xf>
    <xf numFmtId="0" fontId="0" fillId="13" borderId="19" xfId="8" applyFont="1" applyFill="1" applyBorder="1" applyProtection="1"/>
    <xf numFmtId="0" fontId="0" fillId="13" borderId="2" xfId="8" applyFont="1" applyFill="1" applyBorder="1" applyAlignment="1" applyProtection="1">
      <alignment vertical="center"/>
    </xf>
    <xf numFmtId="1" fontId="0" fillId="0" borderId="0" xfId="14" applyNumberFormat="1" applyFont="1"/>
    <xf numFmtId="0" fontId="2" fillId="11" borderId="0" xfId="1" applyFont="1" applyFill="1" applyBorder="1" applyProtection="1">
      <protection locked="0"/>
    </xf>
    <xf numFmtId="0" fontId="2" fillId="11" borderId="3" xfId="1" applyFont="1" applyFill="1" applyBorder="1" applyProtection="1">
      <protection locked="0"/>
    </xf>
    <xf numFmtId="0" fontId="2" fillId="13" borderId="6" xfId="1" applyFont="1" applyFill="1" applyBorder="1" applyAlignment="1" applyProtection="1">
      <alignment horizontal="center"/>
      <protection locked="0"/>
    </xf>
    <xf numFmtId="0" fontId="2" fillId="13" borderId="6" xfId="1" applyFont="1" applyFill="1" applyBorder="1" applyAlignment="1">
      <alignment horizontal="center"/>
    </xf>
    <xf numFmtId="164" fontId="11" fillId="13" borderId="6" xfId="4" applyFont="1" applyFill="1" applyBorder="1" applyAlignment="1" applyProtection="1">
      <alignment horizontal="center"/>
      <protection locked="0"/>
    </xf>
    <xf numFmtId="1" fontId="8" fillId="13" borderId="6" xfId="6" applyNumberFormat="1" applyFont="1" applyFill="1" applyBorder="1" applyAlignment="1" applyProtection="1">
      <alignment horizontal="center"/>
      <protection locked="0"/>
    </xf>
    <xf numFmtId="2" fontId="8" fillId="13" borderId="6" xfId="6" applyNumberFormat="1" applyFont="1" applyFill="1" applyBorder="1" applyAlignment="1" applyProtection="1">
      <alignment horizontal="center"/>
      <protection locked="0"/>
    </xf>
    <xf numFmtId="171" fontId="8" fillId="13" borderId="6" xfId="5" applyNumberFormat="1" applyFont="1" applyFill="1" applyBorder="1" applyAlignment="1" applyProtection="1">
      <alignment horizontal="center"/>
      <protection locked="0"/>
    </xf>
    <xf numFmtId="0" fontId="0" fillId="13" borderId="2" xfId="8" applyFont="1" applyFill="1" applyBorder="1" applyProtection="1"/>
    <xf numFmtId="0" fontId="13" fillId="13" borderId="2" xfId="9" applyFont="1" applyFill="1" applyBorder="1" applyProtection="1"/>
    <xf numFmtId="0" fontId="0" fillId="13" borderId="5" xfId="9" applyFont="1" applyFill="1" applyBorder="1" applyProtection="1"/>
    <xf numFmtId="0" fontId="0" fillId="13" borderId="19" xfId="9" applyFont="1" applyFill="1" applyBorder="1" applyProtection="1"/>
    <xf numFmtId="0" fontId="1" fillId="13" borderId="19" xfId="11" applyFont="1" applyFill="1" applyBorder="1" applyProtection="1"/>
    <xf numFmtId="0" fontId="1" fillId="13" borderId="19" xfId="12" applyFont="1" applyFill="1" applyBorder="1" applyProtection="1"/>
    <xf numFmtId="0" fontId="0" fillId="13" borderId="19" xfId="12" applyFont="1" applyFill="1" applyBorder="1" applyAlignment="1" applyProtection="1">
      <alignment horizontal="left"/>
    </xf>
    <xf numFmtId="0" fontId="0" fillId="13" borderId="19" xfId="12" applyFont="1" applyFill="1" applyBorder="1" applyProtection="1"/>
    <xf numFmtId="0" fontId="13" fillId="13" borderId="2" xfId="12" applyFont="1" applyFill="1" applyBorder="1" applyProtection="1"/>
    <xf numFmtId="0" fontId="0" fillId="13" borderId="5" xfId="12" applyFont="1" applyFill="1" applyBorder="1" applyProtection="1"/>
    <xf numFmtId="0" fontId="13" fillId="13" borderId="2" xfId="11" applyFont="1" applyFill="1" applyBorder="1" applyProtection="1"/>
    <xf numFmtId="0" fontId="0" fillId="13" borderId="5" xfId="11" applyFont="1" applyFill="1" applyBorder="1" applyProtection="1"/>
    <xf numFmtId="0" fontId="0" fillId="13" borderId="19" xfId="11" applyFont="1" applyFill="1" applyBorder="1" applyProtection="1"/>
    <xf numFmtId="173" fontId="0" fillId="0" borderId="0" xfId="14" applyNumberFormat="1" applyFont="1"/>
    <xf numFmtId="178" fontId="0" fillId="0" borderId="0" xfId="13" applyNumberFormat="1" applyFont="1"/>
    <xf numFmtId="2" fontId="0" fillId="17" borderId="0" xfId="7" applyNumberFormat="1" applyFont="1" applyFill="1" applyBorder="1" applyAlignment="1" applyProtection="1">
      <alignment horizontal="center"/>
    </xf>
    <xf numFmtId="2" fontId="0" fillId="17" borderId="9" xfId="7" applyNumberFormat="1" applyFont="1" applyFill="1" applyBorder="1" applyAlignment="1" applyProtection="1">
      <alignment horizontal="center"/>
    </xf>
    <xf numFmtId="0" fontId="13" fillId="13" borderId="2" xfId="10" applyFont="1" applyFill="1" applyBorder="1" applyProtection="1"/>
    <xf numFmtId="0" fontId="14" fillId="13" borderId="5" xfId="10" applyFont="1" applyFill="1" applyBorder="1" applyProtection="1"/>
    <xf numFmtId="0" fontId="14" fillId="13" borderId="19" xfId="10" applyFont="1" applyFill="1" applyBorder="1" applyProtection="1"/>
    <xf numFmtId="0" fontId="0" fillId="13" borderId="5" xfId="11" applyFont="1" applyFill="1" applyBorder="1" applyAlignment="1" applyProtection="1">
      <alignment horizontal="right"/>
    </xf>
    <xf numFmtId="173" fontId="20" fillId="18" borderId="1" xfId="16" applyNumberFormat="1"/>
    <xf numFmtId="0" fontId="11" fillId="2" borderId="1" xfId="2" applyFont="1" applyAlignment="1" applyProtection="1">
      <alignment horizontal="center"/>
      <protection locked="0"/>
    </xf>
    <xf numFmtId="0" fontId="14" fillId="13" borderId="5" xfId="11" applyFont="1" applyFill="1" applyBorder="1" applyAlignment="1" applyProtection="1">
      <alignment horizontal="right"/>
    </xf>
    <xf numFmtId="0" fontId="2" fillId="13" borderId="2" xfId="12" applyFont="1" applyFill="1" applyBorder="1" applyProtection="1"/>
    <xf numFmtId="0" fontId="0" fillId="13" borderId="5" xfId="12" applyFont="1" applyFill="1" applyBorder="1" applyAlignment="1" applyProtection="1">
      <alignment horizontal="right"/>
    </xf>
    <xf numFmtId="44" fontId="18" fillId="0" borderId="0" xfId="13" applyNumberFormat="1" applyFont="1"/>
    <xf numFmtId="9" fontId="0" fillId="0" borderId="0" xfId="14" applyNumberFormat="1" applyFont="1"/>
    <xf numFmtId="0" fontId="2" fillId="13" borderId="2" xfId="12" applyFont="1" applyFill="1" applyBorder="1" applyAlignment="1" applyProtection="1">
      <alignment horizontal="left"/>
    </xf>
    <xf numFmtId="2" fontId="0" fillId="0" borderId="0" xfId="14" applyNumberFormat="1" applyFont="1"/>
    <xf numFmtId="0" fontId="2" fillId="0" borderId="0" xfId="0" applyFont="1" applyFill="1" applyBorder="1"/>
    <xf numFmtId="0" fontId="2" fillId="13" borderId="19" xfId="1" applyFont="1" applyFill="1" applyBorder="1" applyAlignment="1" applyProtection="1">
      <alignment horizontal="right"/>
      <protection locked="0"/>
    </xf>
    <xf numFmtId="0" fontId="25" fillId="0" borderId="0" xfId="1" applyFont="1" applyAlignment="1">
      <alignment vertical="center" wrapText="1"/>
    </xf>
    <xf numFmtId="0" fontId="26" fillId="0" borderId="0" xfId="1" applyFont="1" applyAlignment="1">
      <alignment vertical="center"/>
    </xf>
    <xf numFmtId="0" fontId="17" fillId="0" borderId="0" xfId="0" applyFont="1" applyFill="1" applyBorder="1"/>
    <xf numFmtId="0" fontId="23" fillId="20" borderId="10" xfId="1" applyFont="1" applyFill="1" applyBorder="1" applyAlignment="1">
      <alignment horizontal="center" vertical="center" wrapText="1"/>
    </xf>
    <xf numFmtId="0" fontId="23" fillId="20" borderId="25" xfId="1" applyFont="1" applyFill="1" applyBorder="1" applyAlignment="1">
      <alignment horizontal="center" vertical="center" wrapText="1"/>
    </xf>
    <xf numFmtId="165" fontId="23" fillId="20" borderId="25" xfId="3" applyNumberFormat="1" applyFont="1" applyFill="1" applyBorder="1" applyAlignment="1">
      <alignment horizontal="center" vertical="center" wrapText="1"/>
    </xf>
    <xf numFmtId="0" fontId="23" fillId="21" borderId="25" xfId="1" applyFont="1" applyFill="1" applyBorder="1" applyAlignment="1">
      <alignment horizontal="center" vertical="center" wrapText="1"/>
    </xf>
    <xf numFmtId="165" fontId="23" fillId="21" borderId="25" xfId="3" applyNumberFormat="1" applyFont="1" applyFill="1" applyBorder="1" applyAlignment="1">
      <alignment horizontal="center" vertical="center" wrapText="1"/>
    </xf>
    <xf numFmtId="164" fontId="23" fillId="21" borderId="25" xfId="4" applyNumberFormat="1" applyFont="1" applyFill="1" applyBorder="1" applyAlignment="1">
      <alignment horizontal="center" vertical="center" wrapText="1"/>
    </xf>
    <xf numFmtId="164" fontId="23" fillId="22" borderId="25" xfId="4" applyFont="1" applyFill="1" applyBorder="1" applyAlignment="1">
      <alignment horizontal="center" vertical="center" wrapText="1"/>
    </xf>
    <xf numFmtId="170" fontId="23" fillId="22" borderId="25" xfId="5" applyFont="1" applyFill="1" applyBorder="1" applyAlignment="1">
      <alignment horizontal="center" vertical="center" wrapText="1"/>
    </xf>
    <xf numFmtId="164" fontId="23" fillId="21" borderId="25" xfId="4" applyFont="1" applyFill="1" applyBorder="1" applyAlignment="1">
      <alignment horizontal="center" vertical="center" wrapText="1"/>
    </xf>
    <xf numFmtId="170" fontId="23" fillId="6" borderId="25" xfId="5" applyFont="1" applyFill="1" applyBorder="1" applyAlignment="1">
      <alignment horizontal="center" vertical="center" wrapText="1"/>
    </xf>
    <xf numFmtId="0" fontId="23" fillId="3" borderId="25" xfId="8" applyFont="1" applyFill="1" applyBorder="1" applyAlignment="1">
      <alignment horizontal="center" vertical="center" wrapText="1"/>
    </xf>
    <xf numFmtId="0" fontId="23" fillId="13" borderId="25" xfId="1" applyFont="1" applyFill="1" applyBorder="1" applyAlignment="1">
      <alignment horizontal="center" vertical="center" wrapText="1"/>
    </xf>
    <xf numFmtId="0" fontId="23" fillId="14" borderId="25" xfId="8" applyFont="1" applyFill="1" applyBorder="1" applyAlignment="1">
      <alignment horizontal="center" vertical="center" wrapText="1"/>
    </xf>
    <xf numFmtId="9" fontId="23" fillId="3" borderId="25" xfId="6" applyFont="1" applyFill="1" applyBorder="1" applyAlignment="1">
      <alignment horizontal="center" vertical="center" wrapText="1"/>
    </xf>
    <xf numFmtId="0" fontId="23" fillId="13" borderId="25" xfId="8" applyFont="1" applyFill="1" applyBorder="1" applyAlignment="1">
      <alignment horizontal="center" vertical="center" wrapText="1"/>
    </xf>
    <xf numFmtId="164" fontId="23" fillId="14" borderId="25" xfId="4" applyFont="1" applyFill="1" applyBorder="1" applyAlignment="1">
      <alignment horizontal="center" vertical="center" wrapText="1"/>
    </xf>
    <xf numFmtId="170" fontId="23" fillId="14" borderId="25" xfId="5" applyFont="1" applyFill="1" applyBorder="1" applyAlignment="1">
      <alignment horizontal="center" vertical="center" wrapText="1"/>
    </xf>
    <xf numFmtId="0" fontId="23" fillId="14" borderId="25" xfId="10" applyFont="1" applyFill="1" applyBorder="1" applyAlignment="1">
      <alignment horizontal="center" vertical="center" wrapText="1"/>
    </xf>
    <xf numFmtId="0" fontId="23" fillId="13" borderId="25" xfId="10" applyFont="1" applyFill="1" applyBorder="1" applyAlignment="1">
      <alignment horizontal="center" vertical="center" wrapText="1"/>
    </xf>
    <xf numFmtId="0" fontId="23" fillId="12" borderId="25" xfId="1" applyFont="1" applyFill="1" applyBorder="1" applyAlignment="1">
      <alignment horizontal="center" vertical="center" wrapText="1"/>
    </xf>
    <xf numFmtId="0" fontId="2" fillId="14" borderId="10" xfId="11" applyFont="1" applyFill="1" applyBorder="1" applyAlignment="1" applyProtection="1">
      <alignment horizontal="center" vertical="center" wrapText="1"/>
    </xf>
    <xf numFmtId="0" fontId="9" fillId="14" borderId="10" xfId="11" applyFont="1" applyFill="1" applyBorder="1" applyAlignment="1" applyProtection="1">
      <alignment horizontal="center" vertical="center" wrapText="1"/>
    </xf>
    <xf numFmtId="164" fontId="24" fillId="13" borderId="10" xfId="4" applyFont="1" applyFill="1" applyBorder="1" applyAlignment="1" applyProtection="1">
      <alignment horizontal="center" vertical="center" wrapText="1"/>
    </xf>
    <xf numFmtId="0" fontId="2" fillId="14" borderId="10" xfId="12" applyFont="1" applyFill="1" applyBorder="1" applyAlignment="1" applyProtection="1">
      <alignment horizontal="center" vertical="center" wrapText="1"/>
    </xf>
    <xf numFmtId="0" fontId="24" fillId="13" borderId="10" xfId="1" applyFont="1" applyFill="1" applyBorder="1" applyAlignment="1" applyProtection="1">
      <alignment horizontal="center" vertical="center" wrapText="1"/>
    </xf>
    <xf numFmtId="0" fontId="2" fillId="13" borderId="10" xfId="1" applyFont="1" applyFill="1" applyBorder="1" applyAlignment="1" applyProtection="1">
      <alignment horizontal="center" vertical="center" wrapText="1"/>
    </xf>
    <xf numFmtId="0" fontId="2" fillId="13" borderId="10" xfId="1" applyFont="1" applyFill="1" applyBorder="1" applyAlignment="1" applyProtection="1">
      <alignment horizontal="center" vertical="center"/>
      <protection locked="0"/>
    </xf>
    <xf numFmtId="0" fontId="2" fillId="13" borderId="23" xfId="1" applyFont="1" applyFill="1" applyBorder="1" applyAlignment="1" applyProtection="1">
      <alignment horizontal="center" vertical="center"/>
      <protection locked="0"/>
    </xf>
    <xf numFmtId="0" fontId="3" fillId="5" borderId="24" xfId="10" applyBorder="1"/>
    <xf numFmtId="0" fontId="3" fillId="5" borderId="18" xfId="10" applyBorder="1"/>
    <xf numFmtId="14" fontId="3" fillId="5" borderId="18" xfId="10" applyNumberFormat="1" applyBorder="1"/>
    <xf numFmtId="7" fontId="3" fillId="5" borderId="18" xfId="10" applyNumberFormat="1" applyBorder="1"/>
    <xf numFmtId="164" fontId="3" fillId="5" borderId="18" xfId="10" applyNumberFormat="1" applyBorder="1"/>
    <xf numFmtId="170" fontId="3" fillId="5" borderId="18" xfId="10" applyNumberFormat="1" applyBorder="1"/>
    <xf numFmtId="9" fontId="3" fillId="5" borderId="18" xfId="10" applyNumberFormat="1" applyBorder="1"/>
    <xf numFmtId="0" fontId="3" fillId="5" borderId="18" xfId="10" applyBorder="1" applyAlignment="1">
      <alignment vertical="center"/>
    </xf>
    <xf numFmtId="0" fontId="26" fillId="26" borderId="0" xfId="19" applyFont="1" applyFill="1" applyAlignment="1">
      <alignment vertical="center"/>
    </xf>
    <xf numFmtId="0" fontId="26" fillId="26" borderId="0" xfId="19" applyFont="1" applyFill="1" applyAlignment="1">
      <alignment horizontal="left" vertical="center" indent="1"/>
    </xf>
    <xf numFmtId="0" fontId="26" fillId="0" borderId="0" xfId="19" applyFont="1" applyAlignment="1">
      <alignment vertical="center"/>
    </xf>
    <xf numFmtId="0" fontId="26" fillId="0" borderId="0" xfId="19" applyFont="1" applyAlignment="1">
      <alignment horizontal="left" vertical="center" indent="1"/>
    </xf>
    <xf numFmtId="0" fontId="7" fillId="27" borderId="26" xfId="20" applyFont="1" applyFill="1" applyAlignment="1">
      <alignment horizontal="left" vertical="center" indent="1"/>
    </xf>
    <xf numFmtId="14" fontId="7" fillId="10" borderId="26" xfId="19" applyNumberFormat="1" applyFont="1" applyFill="1" applyBorder="1" applyAlignment="1" applyProtection="1">
      <alignment horizontal="center" vertical="center"/>
      <protection locked="0"/>
    </xf>
    <xf numFmtId="0" fontId="26" fillId="24" borderId="26" xfId="20" applyFont="1" applyAlignment="1">
      <alignment horizontal="left" vertical="center" indent="1"/>
    </xf>
    <xf numFmtId="14" fontId="26" fillId="28" borderId="26" xfId="19" applyNumberFormat="1" applyFont="1" applyFill="1" applyBorder="1" applyAlignment="1">
      <alignment horizontal="center" vertical="center"/>
    </xf>
    <xf numFmtId="0" fontId="26" fillId="28" borderId="26" xfId="19" applyNumberFormat="1" applyFont="1" applyFill="1" applyBorder="1" applyAlignment="1">
      <alignment horizontal="center" vertical="center"/>
    </xf>
    <xf numFmtId="0" fontId="29" fillId="28" borderId="26" xfId="19" applyNumberFormat="1" applyFont="1" applyFill="1" applyBorder="1" applyAlignment="1">
      <alignment horizontal="center" vertical="center"/>
    </xf>
    <xf numFmtId="5" fontId="26" fillId="28" borderId="26" xfId="19" applyNumberFormat="1" applyFont="1" applyFill="1" applyBorder="1" applyAlignment="1">
      <alignment horizontal="center" vertical="center"/>
    </xf>
    <xf numFmtId="3" fontId="26" fillId="28" borderId="26" xfId="19" applyNumberFormat="1" applyFont="1" applyFill="1" applyBorder="1" applyAlignment="1">
      <alignment horizontal="center" vertical="center"/>
    </xf>
    <xf numFmtId="7" fontId="26" fillId="28" borderId="26" xfId="19" applyNumberFormat="1" applyFont="1" applyFill="1" applyBorder="1" applyAlignment="1">
      <alignment horizontal="center" vertical="center"/>
    </xf>
    <xf numFmtId="0" fontId="29" fillId="23" borderId="26" xfId="21" applyFont="1" applyBorder="1" applyAlignment="1">
      <alignment horizontal="left" vertical="center" indent="1"/>
    </xf>
    <xf numFmtId="166" fontId="26" fillId="13" borderId="26" xfId="19" applyNumberFormat="1" applyFont="1" applyFill="1" applyBorder="1" applyAlignment="1">
      <alignment horizontal="center" vertical="center"/>
    </xf>
    <xf numFmtId="171" fontId="26" fillId="13" borderId="26" xfId="19" applyNumberFormat="1" applyFont="1" applyFill="1" applyBorder="1" applyAlignment="1">
      <alignment horizontal="center" vertical="center"/>
    </xf>
    <xf numFmtId="0" fontId="7" fillId="10" borderId="0" xfId="22" applyFont="1" applyFill="1" applyBorder="1" applyAlignment="1">
      <alignment horizontal="left" vertical="center" indent="1"/>
    </xf>
    <xf numFmtId="0" fontId="26" fillId="3" borderId="26" xfId="23" applyFont="1" applyBorder="1" applyAlignment="1">
      <alignment horizontal="left" vertical="center" indent="1"/>
    </xf>
    <xf numFmtId="0" fontId="33" fillId="18" borderId="26" xfId="24" applyNumberFormat="1" applyFont="1" applyBorder="1" applyAlignment="1" applyProtection="1">
      <alignment horizontal="center" vertical="center"/>
    </xf>
    <xf numFmtId="0" fontId="33" fillId="18" borderId="26" xfId="24" quotePrefix="1" applyNumberFormat="1" applyFont="1" applyBorder="1" applyAlignment="1" applyProtection="1">
      <alignment horizontal="center" vertical="center"/>
    </xf>
    <xf numFmtId="9" fontId="33" fillId="18" borderId="26" xfId="24" applyNumberFormat="1" applyFont="1" applyBorder="1" applyAlignment="1" applyProtection="1">
      <alignment horizontal="center" vertical="center"/>
    </xf>
    <xf numFmtId="9" fontId="33" fillId="29" borderId="26" xfId="24" applyNumberFormat="1" applyFont="1" applyFill="1" applyBorder="1" applyAlignment="1" applyProtection="1">
      <alignment horizontal="center" vertical="center"/>
    </xf>
    <xf numFmtId="166" fontId="33" fillId="29" borderId="26" xfId="19" applyNumberFormat="1" applyFont="1" applyFill="1" applyBorder="1" applyAlignment="1">
      <alignment horizontal="center" vertical="center"/>
    </xf>
    <xf numFmtId="171" fontId="33" fillId="29" borderId="26" xfId="19" applyNumberFormat="1" applyFont="1" applyFill="1" applyBorder="1" applyAlignment="1">
      <alignment horizontal="center" vertical="center"/>
    </xf>
    <xf numFmtId="1" fontId="33" fillId="18" borderId="26" xfId="24" applyNumberFormat="1" applyFont="1" applyBorder="1" applyAlignment="1" applyProtection="1">
      <alignment horizontal="center" vertical="center"/>
    </xf>
    <xf numFmtId="2" fontId="33" fillId="18" borderId="26" xfId="24" applyNumberFormat="1" applyFont="1" applyBorder="1" applyAlignment="1" applyProtection="1">
      <alignment horizontal="center" vertical="center"/>
    </xf>
    <xf numFmtId="173" fontId="8" fillId="2" borderId="15" xfId="14" applyNumberFormat="1" applyFont="1" applyFill="1" applyBorder="1" applyAlignment="1" applyProtection="1">
      <alignment horizontal="center"/>
      <protection locked="0"/>
    </xf>
    <xf numFmtId="0" fontId="2" fillId="13" borderId="5" xfId="1" applyFont="1" applyFill="1" applyBorder="1" applyProtection="1">
      <protection locked="0"/>
    </xf>
    <xf numFmtId="10" fontId="0" fillId="0" borderId="0" xfId="6" applyNumberFormat="1" applyFont="1"/>
    <xf numFmtId="10" fontId="0" fillId="0" borderId="0" xfId="0" applyNumberFormat="1"/>
    <xf numFmtId="0" fontId="0" fillId="0" borderId="18" xfId="0" applyBorder="1"/>
    <xf numFmtId="170" fontId="0" fillId="0" borderId="18" xfId="5" applyFont="1" applyBorder="1"/>
    <xf numFmtId="164" fontId="0" fillId="0" borderId="18" xfId="4" applyFont="1" applyBorder="1"/>
    <xf numFmtId="10" fontId="0" fillId="0" borderId="18" xfId="6" applyNumberFormat="1" applyFont="1" applyBorder="1"/>
    <xf numFmtId="9" fontId="0" fillId="0" borderId="18" xfId="0" applyNumberFormat="1" applyBorder="1"/>
    <xf numFmtId="0" fontId="0" fillId="0" borderId="0" xfId="0" quotePrefix="1"/>
    <xf numFmtId="10" fontId="0" fillId="0" borderId="18" xfId="0" applyNumberFormat="1" applyBorder="1"/>
    <xf numFmtId="9" fontId="0" fillId="0" borderId="18" xfId="6" applyFont="1" applyBorder="1"/>
    <xf numFmtId="0" fontId="0" fillId="0" borderId="0" xfId="14" applyNumberFormat="1" applyFont="1"/>
    <xf numFmtId="0" fontId="2" fillId="0" borderId="18" xfId="0" applyFont="1" applyBorder="1"/>
    <xf numFmtId="164" fontId="0" fillId="0" borderId="18" xfId="0" applyNumberFormat="1" applyBorder="1"/>
    <xf numFmtId="2" fontId="0" fillId="0" borderId="18" xfId="0" applyNumberFormat="1" applyBorder="1"/>
    <xf numFmtId="0" fontId="0" fillId="0" borderId="0" xfId="0" applyProtection="1">
      <protection locked="0"/>
    </xf>
    <xf numFmtId="166" fontId="0" fillId="0" borderId="0" xfId="0" applyNumberFormat="1"/>
    <xf numFmtId="164" fontId="0" fillId="0" borderId="0" xfId="4" applyFont="1"/>
    <xf numFmtId="0" fontId="1" fillId="0" borderId="0" xfId="25"/>
    <xf numFmtId="0" fontId="1" fillId="0" borderId="0" xfId="25" applyAlignment="1">
      <alignment horizontal="center"/>
    </xf>
    <xf numFmtId="0" fontId="1" fillId="0" borderId="0" xfId="25" applyAlignment="1">
      <alignment wrapText="1"/>
    </xf>
    <xf numFmtId="0" fontId="1" fillId="0" borderId="0" xfId="25" applyAlignment="1">
      <alignment horizontal="center" wrapText="1"/>
    </xf>
    <xf numFmtId="9" fontId="0" fillId="0" borderId="0" xfId="26" applyFont="1"/>
    <xf numFmtId="42" fontId="0" fillId="0" borderId="0" xfId="27" applyFont="1"/>
    <xf numFmtId="44" fontId="0" fillId="0" borderId="0" xfId="28" applyFont="1"/>
    <xf numFmtId="170" fontId="34" fillId="31" borderId="0" xfId="29" applyNumberFormat="1"/>
    <xf numFmtId="0" fontId="1" fillId="15" borderId="18" xfId="25" applyFill="1" applyBorder="1" applyAlignment="1">
      <alignment horizontal="center"/>
    </xf>
    <xf numFmtId="0" fontId="1" fillId="32" borderId="18" xfId="25" applyFill="1" applyBorder="1" applyAlignment="1">
      <alignment horizontal="center"/>
    </xf>
    <xf numFmtId="0" fontId="0" fillId="0" borderId="0" xfId="25" applyFont="1"/>
    <xf numFmtId="0" fontId="2" fillId="0" borderId="0" xfId="25" applyFont="1"/>
    <xf numFmtId="0" fontId="1" fillId="0" borderId="0" xfId="25" applyFont="1"/>
    <xf numFmtId="15" fontId="0" fillId="32" borderId="0" xfId="25" applyNumberFormat="1" applyFont="1" applyFill="1"/>
    <xf numFmtId="15" fontId="1" fillId="32" borderId="0" xfId="25" applyNumberFormat="1" applyFill="1"/>
    <xf numFmtId="0" fontId="0" fillId="0" borderId="0" xfId="25" applyFont="1" applyFill="1" applyAlignment="1">
      <alignment horizontal="center"/>
    </xf>
    <xf numFmtId="0" fontId="1" fillId="0" borderId="0" xfId="25" applyBorder="1"/>
    <xf numFmtId="0" fontId="0" fillId="0" borderId="2" xfId="25" applyFont="1" applyBorder="1" applyAlignment="1">
      <alignment horizontal="right"/>
    </xf>
    <xf numFmtId="0" fontId="1" fillId="0" borderId="3" xfId="25" applyBorder="1"/>
    <xf numFmtId="0" fontId="34" fillId="10" borderId="30" xfId="25" applyFont="1" applyFill="1" applyBorder="1" applyAlignment="1">
      <alignment horizontal="center"/>
    </xf>
    <xf numFmtId="0" fontId="34" fillId="10" borderId="31" xfId="25" applyFont="1" applyFill="1" applyBorder="1" applyAlignment="1">
      <alignment horizontal="center"/>
    </xf>
    <xf numFmtId="0" fontId="34" fillId="10" borderId="32" xfId="25" applyFont="1" applyFill="1" applyBorder="1" applyAlignment="1">
      <alignment horizontal="center"/>
    </xf>
    <xf numFmtId="0" fontId="34" fillId="10" borderId="33" xfId="25" applyFont="1" applyFill="1" applyBorder="1" applyAlignment="1">
      <alignment horizontal="center"/>
    </xf>
    <xf numFmtId="5" fontId="1" fillId="0" borderId="0" xfId="25" applyNumberFormat="1"/>
    <xf numFmtId="0" fontId="1" fillId="0" borderId="5" xfId="25" applyBorder="1"/>
    <xf numFmtId="0" fontId="34" fillId="10" borderId="34" xfId="25" applyFont="1" applyFill="1" applyBorder="1" applyAlignment="1">
      <alignment horizontal="center"/>
    </xf>
    <xf numFmtId="0" fontId="34" fillId="10" borderId="35" xfId="25" applyFont="1" applyFill="1" applyBorder="1" applyAlignment="1">
      <alignment horizontal="center"/>
    </xf>
    <xf numFmtId="0" fontId="34" fillId="10" borderId="36" xfId="25" applyFont="1" applyFill="1" applyBorder="1" applyAlignment="1">
      <alignment horizontal="center"/>
    </xf>
    <xf numFmtId="0" fontId="34" fillId="10" borderId="37" xfId="25" applyFont="1" applyFill="1" applyBorder="1" applyAlignment="1">
      <alignment horizontal="center"/>
    </xf>
    <xf numFmtId="0" fontId="0" fillId="33" borderId="38" xfId="25" applyFont="1" applyFill="1" applyBorder="1" applyAlignment="1">
      <alignment horizontal="center"/>
    </xf>
    <xf numFmtId="0" fontId="0" fillId="33" borderId="18" xfId="25" applyFont="1" applyFill="1" applyBorder="1" applyAlignment="1">
      <alignment horizontal="center"/>
    </xf>
    <xf numFmtId="0" fontId="0" fillId="33" borderId="39" xfId="25" applyFont="1" applyFill="1" applyBorder="1" applyAlignment="1">
      <alignment horizontal="center"/>
    </xf>
    <xf numFmtId="0" fontId="0" fillId="33" borderId="40" xfId="25" applyFont="1" applyFill="1" applyBorder="1" applyAlignment="1">
      <alignment horizontal="center"/>
    </xf>
    <xf numFmtId="0" fontId="2" fillId="0" borderId="30" xfId="25" applyFont="1" applyBorder="1"/>
    <xf numFmtId="0" fontId="17" fillId="0" borderId="41" xfId="25" applyFont="1" applyBorder="1" applyAlignment="1">
      <alignment horizontal="center"/>
    </xf>
    <xf numFmtId="0" fontId="1" fillId="0" borderId="38" xfId="25" applyBorder="1" applyAlignment="1">
      <alignment horizontal="center"/>
    </xf>
    <xf numFmtId="0" fontId="0" fillId="0" borderId="39" xfId="25" applyFont="1" applyBorder="1" applyAlignment="1">
      <alignment horizontal="center"/>
    </xf>
    <xf numFmtId="0" fontId="1" fillId="0" borderId="39" xfId="25" applyBorder="1" applyAlignment="1">
      <alignment horizontal="center"/>
    </xf>
    <xf numFmtId="0" fontId="1" fillId="0" borderId="40" xfId="25" applyBorder="1" applyAlignment="1">
      <alignment horizontal="center"/>
    </xf>
    <xf numFmtId="0" fontId="1" fillId="0" borderId="42" xfId="25" applyBorder="1" applyAlignment="1">
      <alignment horizontal="center"/>
    </xf>
    <xf numFmtId="0" fontId="1" fillId="0" borderId="38" xfId="25" applyFont="1" applyBorder="1" applyAlignment="1">
      <alignment horizontal="right"/>
    </xf>
    <xf numFmtId="0" fontId="1" fillId="0" borderId="43" xfId="25" applyBorder="1" applyAlignment="1">
      <alignment horizontal="center"/>
    </xf>
    <xf numFmtId="5" fontId="0" fillId="32" borderId="38" xfId="28" applyNumberFormat="1" applyFont="1" applyFill="1" applyBorder="1" applyAlignment="1">
      <alignment horizontal="center"/>
    </xf>
    <xf numFmtId="5" fontId="0" fillId="32" borderId="18" xfId="28" applyNumberFormat="1" applyFont="1" applyFill="1" applyBorder="1" applyAlignment="1">
      <alignment horizontal="center"/>
    </xf>
    <xf numFmtId="5" fontId="0" fillId="32" borderId="44" xfId="28" applyNumberFormat="1" applyFont="1" applyFill="1" applyBorder="1" applyAlignment="1">
      <alignment horizontal="center"/>
    </xf>
    <xf numFmtId="0" fontId="1" fillId="32" borderId="0" xfId="25" applyFill="1"/>
    <xf numFmtId="5" fontId="0" fillId="0" borderId="0" xfId="28" applyNumberFormat="1" applyFont="1" applyFill="1" applyBorder="1" applyAlignment="1">
      <alignment horizontal="left"/>
    </xf>
    <xf numFmtId="0" fontId="1" fillId="0" borderId="0" xfId="25" applyFont="1" applyBorder="1" applyAlignment="1">
      <alignment horizontal="left"/>
    </xf>
    <xf numFmtId="5" fontId="1" fillId="0" borderId="0" xfId="25" applyNumberFormat="1" applyBorder="1"/>
    <xf numFmtId="0" fontId="1" fillId="0" borderId="38" xfId="25" applyBorder="1" applyAlignment="1">
      <alignment horizontal="right"/>
    </xf>
    <xf numFmtId="0" fontId="1" fillId="0" borderId="0" xfId="25" applyBorder="1" applyAlignment="1">
      <alignment horizontal="left"/>
    </xf>
    <xf numFmtId="0" fontId="1" fillId="0" borderId="38" xfId="25" applyFill="1" applyBorder="1" applyAlignment="1">
      <alignment horizontal="right"/>
    </xf>
    <xf numFmtId="0" fontId="0" fillId="0" borderId="38" xfId="25" applyFont="1" applyFill="1" applyBorder="1" applyAlignment="1">
      <alignment horizontal="right"/>
    </xf>
    <xf numFmtId="0" fontId="0" fillId="0" borderId="38" xfId="25" applyFont="1" applyBorder="1" applyAlignment="1">
      <alignment horizontal="right"/>
    </xf>
    <xf numFmtId="0" fontId="1" fillId="0" borderId="43" xfId="25" applyFill="1" applyBorder="1" applyAlignment="1">
      <alignment horizontal="center"/>
    </xf>
    <xf numFmtId="0" fontId="1" fillId="0" borderId="0" xfId="25" applyFill="1" applyBorder="1" applyAlignment="1">
      <alignment horizontal="left"/>
    </xf>
    <xf numFmtId="0" fontId="1" fillId="32" borderId="38" xfId="25" applyFill="1" applyBorder="1" applyAlignment="1">
      <alignment horizontal="center"/>
    </xf>
    <xf numFmtId="0" fontId="1" fillId="32" borderId="44" xfId="25" applyFill="1" applyBorder="1" applyAlignment="1">
      <alignment horizontal="center"/>
    </xf>
    <xf numFmtId="0" fontId="1" fillId="0" borderId="45" xfId="25" applyFill="1" applyBorder="1" applyAlignment="1">
      <alignment horizontal="right"/>
    </xf>
    <xf numFmtId="0" fontId="1" fillId="0" borderId="46" xfId="25" applyFill="1" applyBorder="1" applyAlignment="1">
      <alignment horizontal="center"/>
    </xf>
    <xf numFmtId="5" fontId="1" fillId="32" borderId="47" xfId="25" applyNumberFormat="1" applyFill="1" applyBorder="1" applyAlignment="1">
      <alignment horizontal="center"/>
    </xf>
    <xf numFmtId="5" fontId="1" fillId="32" borderId="48" xfId="25" applyNumberFormat="1" applyFill="1" applyBorder="1" applyAlignment="1">
      <alignment horizontal="center"/>
    </xf>
    <xf numFmtId="0" fontId="1" fillId="0" borderId="0" xfId="25" applyBorder="1" applyAlignment="1">
      <alignment horizontal="center"/>
    </xf>
    <xf numFmtId="0" fontId="2" fillId="0" borderId="30" xfId="25" applyFont="1" applyBorder="1" applyAlignment="1">
      <alignment horizontal="left"/>
    </xf>
    <xf numFmtId="0" fontId="1" fillId="0" borderId="41" xfId="25" applyBorder="1" applyAlignment="1">
      <alignment horizontal="center"/>
    </xf>
    <xf numFmtId="0" fontId="1" fillId="33" borderId="38" xfId="25" applyFont="1" applyFill="1" applyBorder="1" applyAlignment="1">
      <alignment horizontal="center"/>
    </xf>
    <xf numFmtId="0" fontId="1" fillId="33" borderId="39" xfId="25" applyFill="1" applyBorder="1" applyAlignment="1">
      <alignment horizontal="center"/>
    </xf>
    <xf numFmtId="0" fontId="1" fillId="33" borderId="38" xfId="25" applyFill="1" applyBorder="1" applyAlignment="1">
      <alignment horizontal="center"/>
    </xf>
    <xf numFmtId="0" fontId="1" fillId="33" borderId="40" xfId="25" applyFill="1" applyBorder="1" applyAlignment="1">
      <alignment horizontal="center"/>
    </xf>
    <xf numFmtId="0" fontId="1" fillId="33" borderId="42" xfId="25" applyFill="1" applyBorder="1" applyAlignment="1">
      <alignment horizontal="center"/>
    </xf>
    <xf numFmtId="0" fontId="1" fillId="0" borderId="45" xfId="25" applyBorder="1" applyAlignment="1">
      <alignment horizontal="right"/>
    </xf>
    <xf numFmtId="0" fontId="1" fillId="0" borderId="46" xfId="25" applyBorder="1" applyAlignment="1">
      <alignment horizontal="center"/>
    </xf>
    <xf numFmtId="0" fontId="1" fillId="0" borderId="49" xfId="25" applyFill="1" applyBorder="1" applyAlignment="1">
      <alignment horizontal="right"/>
    </xf>
    <xf numFmtId="0" fontId="1" fillId="0" borderId="50" xfId="25" applyFill="1" applyBorder="1" applyAlignment="1">
      <alignment horizontal="center"/>
    </xf>
    <xf numFmtId="5" fontId="1" fillId="32" borderId="45" xfId="25" applyNumberFormat="1" applyFill="1" applyBorder="1" applyAlignment="1">
      <alignment horizontal="center"/>
    </xf>
    <xf numFmtId="5" fontId="1" fillId="32" borderId="51" xfId="25" applyNumberFormat="1" applyFill="1" applyBorder="1" applyAlignment="1">
      <alignment horizontal="center"/>
    </xf>
    <xf numFmtId="5" fontId="1" fillId="32" borderId="52" xfId="25" applyNumberFormat="1" applyFill="1" applyBorder="1" applyAlignment="1">
      <alignment horizontal="center"/>
    </xf>
    <xf numFmtId="5" fontId="1" fillId="32" borderId="53" xfId="25" applyNumberFormat="1" applyFill="1" applyBorder="1" applyAlignment="1">
      <alignment horizontal="center"/>
    </xf>
    <xf numFmtId="5" fontId="1" fillId="32" borderId="54" xfId="25" applyNumberFormat="1" applyFill="1" applyBorder="1" applyAlignment="1">
      <alignment horizontal="center"/>
    </xf>
    <xf numFmtId="0" fontId="1" fillId="0" borderId="0" xfId="25" applyFill="1" applyBorder="1"/>
    <xf numFmtId="7" fontId="0" fillId="32" borderId="38" xfId="28" applyNumberFormat="1" applyFont="1" applyFill="1" applyBorder="1" applyAlignment="1">
      <alignment horizontal="center"/>
    </xf>
    <xf numFmtId="7" fontId="0" fillId="32" borderId="18" xfId="28" applyNumberFormat="1" applyFont="1" applyFill="1" applyBorder="1" applyAlignment="1">
      <alignment horizontal="center"/>
    </xf>
    <xf numFmtId="7" fontId="0" fillId="32" borderId="44" xfId="28" applyNumberFormat="1" applyFont="1" applyFill="1" applyBorder="1" applyAlignment="1">
      <alignment horizontal="center"/>
    </xf>
    <xf numFmtId="7" fontId="0" fillId="0" borderId="0" xfId="28" applyNumberFormat="1" applyFont="1" applyFill="1" applyBorder="1" applyAlignment="1">
      <alignment horizontal="center"/>
    </xf>
    <xf numFmtId="7" fontId="1" fillId="0" borderId="0" xfId="25" applyNumberFormat="1" applyBorder="1"/>
    <xf numFmtId="7" fontId="1" fillId="32" borderId="45" xfId="28" applyNumberFormat="1" applyFont="1" applyFill="1" applyBorder="1" applyAlignment="1">
      <alignment horizontal="center"/>
    </xf>
    <xf numFmtId="7" fontId="1" fillId="32" borderId="51" xfId="28" applyNumberFormat="1" applyFont="1" applyFill="1" applyBorder="1" applyAlignment="1">
      <alignment horizontal="center"/>
    </xf>
    <xf numFmtId="7" fontId="1" fillId="32" borderId="54" xfId="28" applyNumberFormat="1" applyFont="1" applyFill="1" applyBorder="1" applyAlignment="1">
      <alignment horizontal="center"/>
    </xf>
    <xf numFmtId="0" fontId="1" fillId="0" borderId="55" xfId="25" applyBorder="1" applyAlignment="1">
      <alignment horizontal="center"/>
    </xf>
    <xf numFmtId="0" fontId="1" fillId="0" borderId="56" xfId="25" applyBorder="1" applyAlignment="1">
      <alignment horizontal="center"/>
    </xf>
    <xf numFmtId="0" fontId="1" fillId="0" borderId="6" xfId="25" applyBorder="1" applyAlignment="1">
      <alignment horizontal="center"/>
    </xf>
    <xf numFmtId="0" fontId="1" fillId="0" borderId="57" xfId="25" applyBorder="1" applyAlignment="1">
      <alignment horizontal="center"/>
    </xf>
    <xf numFmtId="0" fontId="2" fillId="0" borderId="30" xfId="25" applyFont="1" applyFill="1" applyBorder="1"/>
    <xf numFmtId="0" fontId="1" fillId="0" borderId="41" xfId="25" applyFill="1" applyBorder="1" applyAlignment="1">
      <alignment horizontal="center"/>
    </xf>
    <xf numFmtId="5" fontId="1" fillId="32" borderId="38" xfId="25" applyNumberFormat="1" applyFill="1" applyBorder="1" applyAlignment="1">
      <alignment horizontal="center"/>
    </xf>
    <xf numFmtId="5" fontId="1" fillId="32" borderId="18" xfId="25" applyNumberFormat="1" applyFill="1" applyBorder="1" applyAlignment="1">
      <alignment horizontal="center"/>
    </xf>
    <xf numFmtId="5" fontId="1" fillId="32" borderId="44" xfId="25" applyNumberFormat="1" applyFill="1" applyBorder="1" applyAlignment="1">
      <alignment horizontal="center"/>
    </xf>
    <xf numFmtId="7" fontId="1" fillId="32" borderId="45" xfId="25" applyNumberFormat="1" applyFill="1" applyBorder="1" applyAlignment="1">
      <alignment horizontal="center"/>
    </xf>
    <xf numFmtId="7" fontId="1" fillId="32" borderId="51" xfId="25" applyNumberFormat="1" applyFill="1" applyBorder="1" applyAlignment="1">
      <alignment horizontal="center"/>
    </xf>
    <xf numFmtId="7" fontId="1" fillId="32" borderId="54" xfId="25" applyNumberFormat="1" applyFill="1" applyBorder="1" applyAlignment="1">
      <alignment horizontal="center"/>
    </xf>
    <xf numFmtId="0" fontId="1" fillId="0" borderId="0" xfId="25" applyFill="1"/>
    <xf numFmtId="0" fontId="1" fillId="0" borderId="58" xfId="25" applyBorder="1"/>
    <xf numFmtId="0" fontId="1" fillId="0" borderId="59" xfId="25" applyBorder="1"/>
    <xf numFmtId="0" fontId="34" fillId="10" borderId="18" xfId="25" applyFont="1" applyFill="1" applyBorder="1" applyAlignment="1">
      <alignment horizontal="center"/>
    </xf>
    <xf numFmtId="0" fontId="34" fillId="10" borderId="0" xfId="25" applyFont="1" applyFill="1" applyBorder="1" applyAlignment="1">
      <alignment horizontal="center"/>
    </xf>
    <xf numFmtId="0" fontId="34" fillId="0" borderId="0" xfId="25" applyFont="1" applyFill="1" applyBorder="1" applyAlignment="1">
      <alignment horizontal="center"/>
    </xf>
    <xf numFmtId="0" fontId="2" fillId="0" borderId="60" xfId="25" applyFont="1" applyBorder="1"/>
    <xf numFmtId="0" fontId="1" fillId="33" borderId="18" xfId="25" applyFont="1" applyFill="1" applyBorder="1" applyAlignment="1">
      <alignment horizontal="center"/>
    </xf>
    <xf numFmtId="0" fontId="1" fillId="33" borderId="18" xfId="25" applyFill="1" applyBorder="1" applyAlignment="1">
      <alignment horizontal="center"/>
    </xf>
    <xf numFmtId="0" fontId="1" fillId="33" borderId="0" xfId="25" applyFill="1" applyBorder="1" applyAlignment="1">
      <alignment horizontal="center"/>
    </xf>
    <xf numFmtId="0" fontId="1" fillId="0" borderId="0" xfId="25" applyFill="1" applyBorder="1" applyAlignment="1">
      <alignment horizontal="center"/>
    </xf>
    <xf numFmtId="0" fontId="22" fillId="0" borderId="0" xfId="25" applyFont="1"/>
    <xf numFmtId="0" fontId="1" fillId="0" borderId="60" xfId="25" applyBorder="1"/>
    <xf numFmtId="179" fontId="0" fillId="15" borderId="18" xfId="30" applyNumberFormat="1" applyFont="1" applyFill="1" applyBorder="1" applyAlignment="1">
      <alignment horizontal="center"/>
    </xf>
    <xf numFmtId="179" fontId="0" fillId="15" borderId="0" xfId="30" applyNumberFormat="1" applyFont="1" applyFill="1" applyBorder="1" applyAlignment="1">
      <alignment horizontal="center"/>
    </xf>
    <xf numFmtId="179" fontId="0" fillId="0" borderId="0" xfId="30" applyNumberFormat="1" applyFont="1" applyFill="1" applyBorder="1" applyAlignment="1">
      <alignment horizontal="center"/>
    </xf>
    <xf numFmtId="0" fontId="22" fillId="0" borderId="0" xfId="25" applyFont="1" applyFill="1" applyBorder="1"/>
    <xf numFmtId="0" fontId="1" fillId="34" borderId="0" xfId="25" applyFill="1" applyBorder="1" applyAlignment="1">
      <alignment horizontal="center"/>
    </xf>
    <xf numFmtId="7" fontId="1" fillId="34" borderId="51" xfId="28" applyNumberFormat="1" applyFont="1" applyFill="1" applyBorder="1" applyAlignment="1">
      <alignment horizontal="center"/>
    </xf>
    <xf numFmtId="7" fontId="1" fillId="34" borderId="0" xfId="28" applyNumberFormat="1" applyFont="1" applyFill="1" applyBorder="1" applyAlignment="1">
      <alignment horizontal="center"/>
    </xf>
    <xf numFmtId="7" fontId="1" fillId="0" borderId="0" xfId="28" applyNumberFormat="1" applyFont="1" applyFill="1" applyBorder="1" applyAlignment="1">
      <alignment horizontal="center"/>
    </xf>
    <xf numFmtId="0" fontId="1" fillId="0" borderId="61" xfId="25" applyBorder="1"/>
    <xf numFmtId="0" fontId="1" fillId="0" borderId="62" xfId="25" applyBorder="1"/>
    <xf numFmtId="0" fontId="1" fillId="0" borderId="62" xfId="25" applyBorder="1" applyAlignment="1">
      <alignment horizontal="center"/>
    </xf>
    <xf numFmtId="0" fontId="1" fillId="0" borderId="0" xfId="25" applyAlignment="1">
      <alignment horizontal="right"/>
    </xf>
    <xf numFmtId="0" fontId="35" fillId="0" borderId="0" xfId="31"/>
    <xf numFmtId="0" fontId="1" fillId="0" borderId="0" xfId="25" applyAlignment="1">
      <alignment horizontal="center" vertical="center"/>
    </xf>
    <xf numFmtId="0" fontId="1" fillId="0" borderId="0" xfId="25" applyAlignment="1">
      <alignment horizontal="right" vertical="center"/>
    </xf>
    <xf numFmtId="0" fontId="1" fillId="0" borderId="0" xfId="25" applyFill="1" applyAlignment="1">
      <alignment horizontal="center" vertical="center"/>
    </xf>
    <xf numFmtId="0" fontId="1" fillId="15" borderId="0" xfId="25" applyFill="1" applyAlignment="1">
      <alignment horizontal="center" vertical="center"/>
    </xf>
    <xf numFmtId="179" fontId="0" fillId="32" borderId="0" xfId="30" applyNumberFormat="1" applyFont="1" applyFill="1" applyAlignment="1">
      <alignment horizontal="center" vertical="center"/>
    </xf>
    <xf numFmtId="0" fontId="1" fillId="15" borderId="0" xfId="25" applyFill="1" applyAlignment="1">
      <alignment horizontal="center"/>
    </xf>
    <xf numFmtId="0" fontId="1" fillId="0" borderId="0" xfId="25" applyFill="1" applyAlignment="1">
      <alignment horizontal="center"/>
    </xf>
    <xf numFmtId="5" fontId="3" fillId="32" borderId="0" xfId="21" applyNumberFormat="1" applyFont="1" applyFill="1" applyBorder="1" applyAlignment="1">
      <alignment horizontal="center"/>
    </xf>
    <xf numFmtId="0" fontId="1" fillId="32" borderId="0" xfId="25" applyFill="1" applyAlignment="1">
      <alignment horizontal="center"/>
    </xf>
    <xf numFmtId="5" fontId="3" fillId="15" borderId="0" xfId="21" applyNumberFormat="1" applyFont="1" applyFill="1" applyBorder="1" applyAlignment="1">
      <alignment horizontal="center"/>
    </xf>
    <xf numFmtId="0" fontId="0" fillId="0" borderId="0" xfId="25" applyFont="1" applyAlignment="1">
      <alignment horizontal="right"/>
    </xf>
    <xf numFmtId="0" fontId="34" fillId="10" borderId="63" xfId="25" applyFont="1" applyFill="1" applyBorder="1" applyAlignment="1">
      <alignment horizontal="center"/>
    </xf>
    <xf numFmtId="0" fontId="34" fillId="10" borderId="24" xfId="25" applyFont="1" applyFill="1" applyBorder="1" applyAlignment="1">
      <alignment horizontal="center"/>
    </xf>
    <xf numFmtId="0" fontId="17" fillId="0" borderId="64" xfId="25" applyFont="1" applyBorder="1" applyAlignment="1">
      <alignment horizontal="center"/>
    </xf>
    <xf numFmtId="0" fontId="1" fillId="0" borderId="18" xfId="25" applyBorder="1" applyAlignment="1">
      <alignment horizontal="center"/>
    </xf>
    <xf numFmtId="0" fontId="1" fillId="0" borderId="44" xfId="25" applyBorder="1" applyAlignment="1">
      <alignment horizontal="center"/>
    </xf>
    <xf numFmtId="5" fontId="0" fillId="15" borderId="18" xfId="28" applyNumberFormat="1" applyFont="1" applyFill="1" applyBorder="1" applyAlignment="1">
      <alignment horizontal="center"/>
    </xf>
    <xf numFmtId="5" fontId="0" fillId="15" borderId="39" xfId="28" applyNumberFormat="1" applyFont="1" applyFill="1" applyBorder="1" applyAlignment="1">
      <alignment horizontal="center"/>
    </xf>
    <xf numFmtId="5" fontId="0" fillId="15" borderId="38" xfId="28" applyNumberFormat="1" applyFont="1" applyFill="1" applyBorder="1" applyAlignment="1">
      <alignment horizontal="center"/>
    </xf>
    <xf numFmtId="5" fontId="0" fillId="15" borderId="40" xfId="28" applyNumberFormat="1" applyFont="1" applyFill="1" applyBorder="1" applyAlignment="1">
      <alignment horizontal="center"/>
    </xf>
    <xf numFmtId="5" fontId="0" fillId="15" borderId="42" xfId="28" applyNumberFormat="1" applyFont="1" applyFill="1" applyBorder="1" applyAlignment="1">
      <alignment horizontal="center"/>
    </xf>
    <xf numFmtId="0" fontId="1" fillId="0" borderId="44" xfId="25" applyFill="1" applyBorder="1" applyAlignment="1">
      <alignment horizontal="center"/>
    </xf>
    <xf numFmtId="0" fontId="1" fillId="0" borderId="54" xfId="25" applyFill="1" applyBorder="1" applyAlignment="1">
      <alignment horizontal="center"/>
    </xf>
    <xf numFmtId="0" fontId="1" fillId="0" borderId="64" xfId="25" applyBorder="1" applyAlignment="1">
      <alignment horizontal="center"/>
    </xf>
    <xf numFmtId="0" fontId="1" fillId="0" borderId="54" xfId="25" applyBorder="1" applyAlignment="1">
      <alignment horizontal="center"/>
    </xf>
    <xf numFmtId="5" fontId="0" fillId="15" borderId="65" xfId="28" applyNumberFormat="1" applyFont="1" applyFill="1" applyBorder="1" applyAlignment="1">
      <alignment horizontal="center"/>
    </xf>
    <xf numFmtId="7" fontId="0" fillId="15" borderId="18" xfId="28" applyNumberFormat="1" applyFont="1" applyFill="1" applyBorder="1" applyAlignment="1">
      <alignment horizontal="center"/>
    </xf>
    <xf numFmtId="0" fontId="1" fillId="0" borderId="66" xfId="25" applyBorder="1" applyAlignment="1">
      <alignment horizontal="center"/>
    </xf>
    <xf numFmtId="0" fontId="1" fillId="0" borderId="64" xfId="25" applyFill="1" applyBorder="1" applyAlignment="1">
      <alignment horizontal="center"/>
    </xf>
    <xf numFmtId="7" fontId="1" fillId="32" borderId="18" xfId="25" applyNumberFormat="1" applyFill="1" applyBorder="1" applyAlignment="1">
      <alignment horizontal="center"/>
    </xf>
    <xf numFmtId="0" fontId="0" fillId="0" borderId="0" xfId="13" applyNumberFormat="1" applyFont="1"/>
    <xf numFmtId="0" fontId="0" fillId="0" borderId="0" xfId="0" applyAlignment="1">
      <alignment vertical="top" wrapText="1"/>
    </xf>
    <xf numFmtId="166" fontId="8" fillId="35" borderId="6" xfId="5" applyNumberFormat="1" applyFont="1" applyFill="1" applyBorder="1" applyAlignment="1" applyProtection="1">
      <alignment horizontal="center"/>
      <protection locked="0"/>
    </xf>
    <xf numFmtId="0" fontId="36" fillId="2" borderId="1" xfId="32"/>
    <xf numFmtId="10" fontId="36" fillId="2" borderId="1" xfId="32" applyNumberFormat="1"/>
    <xf numFmtId="10" fontId="19" fillId="18" borderId="22" xfId="15" applyNumberFormat="1"/>
    <xf numFmtId="0" fontId="21" fillId="0" borderId="0" xfId="17" applyFont="1"/>
    <xf numFmtId="44" fontId="36" fillId="2" borderId="1" xfId="13" applyFont="1" applyFill="1" applyBorder="1"/>
    <xf numFmtId="9" fontId="8" fillId="2" borderId="1" xfId="14" applyFont="1" applyFill="1" applyBorder="1"/>
    <xf numFmtId="9" fontId="36" fillId="2" borderId="1" xfId="14" applyFont="1" applyFill="1" applyBorder="1"/>
    <xf numFmtId="174" fontId="19" fillId="18" borderId="22" xfId="13" applyNumberFormat="1" applyFont="1" applyFill="1" applyBorder="1"/>
    <xf numFmtId="9" fontId="20" fillId="18" borderId="1" xfId="14" applyFont="1" applyFill="1" applyBorder="1"/>
    <xf numFmtId="3" fontId="20" fillId="18" borderId="1" xfId="16" applyNumberFormat="1"/>
    <xf numFmtId="9" fontId="8" fillId="2" borderId="1" xfId="6" applyFont="1" applyFill="1" applyBorder="1" applyAlignment="1" applyProtection="1">
      <alignment horizontal="center"/>
      <protection locked="0"/>
    </xf>
    <xf numFmtId="0" fontId="3" fillId="13" borderId="0" xfId="1" applyFill="1" applyProtection="1">
      <protection locked="0"/>
    </xf>
    <xf numFmtId="171" fontId="8" fillId="2" borderId="1" xfId="6" applyNumberFormat="1" applyFont="1" applyFill="1" applyBorder="1" applyAlignment="1" applyProtection="1">
      <alignment horizontal="center"/>
      <protection locked="0"/>
    </xf>
    <xf numFmtId="171" fontId="8" fillId="2" borderId="1" xfId="4" applyNumberFormat="1" applyFont="1" applyFill="1" applyBorder="1" applyAlignment="1" applyProtection="1">
      <alignment horizontal="center"/>
      <protection locked="0"/>
    </xf>
    <xf numFmtId="171" fontId="8" fillId="2" borderId="1" xfId="5" applyNumberFormat="1" applyFont="1" applyFill="1" applyBorder="1" applyAlignment="1" applyProtection="1">
      <alignment horizontal="center"/>
      <protection locked="0"/>
    </xf>
    <xf numFmtId="165" fontId="3" fillId="3" borderId="1" xfId="8" applyNumberFormat="1" applyBorder="1" applyAlignment="1" applyProtection="1">
      <alignment horizontal="center"/>
    </xf>
    <xf numFmtId="3" fontId="8" fillId="14" borderId="1" xfId="3" applyNumberFormat="1" applyFont="1" applyFill="1" applyBorder="1" applyAlignment="1" applyProtection="1">
      <alignment horizontal="center"/>
    </xf>
    <xf numFmtId="171" fontId="8" fillId="14" borderId="13" xfId="5" applyNumberFormat="1" applyFont="1" applyFill="1" applyBorder="1" applyAlignment="1" applyProtection="1">
      <alignment horizontal="center"/>
    </xf>
    <xf numFmtId="1" fontId="3" fillId="3" borderId="1" xfId="8" applyNumberFormat="1" applyBorder="1" applyAlignment="1" applyProtection="1">
      <alignment horizontal="center"/>
    </xf>
    <xf numFmtId="166" fontId="8" fillId="14" borderId="1" xfId="4" applyNumberFormat="1" applyFont="1" applyFill="1" applyBorder="1" applyAlignment="1" applyProtection="1">
      <alignment horizontal="center"/>
    </xf>
    <xf numFmtId="171" fontId="3" fillId="3" borderId="1" xfId="8" applyNumberFormat="1" applyBorder="1" applyAlignment="1" applyProtection="1">
      <alignment horizontal="center"/>
    </xf>
    <xf numFmtId="171" fontId="8" fillId="16" borderId="17" xfId="5" applyNumberFormat="1" applyFont="1" applyFill="1" applyBorder="1" applyAlignment="1" applyProtection="1">
      <alignment horizontal="center"/>
    </xf>
    <xf numFmtId="171" fontId="8" fillId="16" borderId="18" xfId="5" applyNumberFormat="1" applyFont="1" applyFill="1" applyBorder="1" applyAlignment="1" applyProtection="1">
      <alignment horizontal="center"/>
    </xf>
    <xf numFmtId="1" fontId="8" fillId="14" borderId="16" xfId="6" applyNumberFormat="1" applyFont="1" applyFill="1" applyBorder="1" applyAlignment="1" applyProtection="1">
      <alignment horizontal="center"/>
    </xf>
    <xf numFmtId="166" fontId="8" fillId="16" borderId="20" xfId="5" applyNumberFormat="1" applyFont="1" applyFill="1" applyBorder="1" applyAlignment="1" applyProtection="1">
      <alignment horizontal="center"/>
    </xf>
    <xf numFmtId="0" fontId="3" fillId="33" borderId="4" xfId="1" applyFill="1" applyBorder="1" applyAlignment="1" applyProtection="1">
      <alignment horizontal="center"/>
    </xf>
    <xf numFmtId="0" fontId="3" fillId="33" borderId="21" xfId="1" applyFill="1" applyBorder="1" applyAlignment="1" applyProtection="1">
      <alignment horizontal="center"/>
    </xf>
    <xf numFmtId="0" fontId="3" fillId="14" borderId="9" xfId="1" applyFill="1" applyBorder="1" applyAlignment="1" applyProtection="1">
      <alignment horizontal="center"/>
    </xf>
    <xf numFmtId="0" fontId="3" fillId="13" borderId="3" xfId="1" applyFill="1" applyBorder="1" applyProtection="1"/>
    <xf numFmtId="171" fontId="0" fillId="13" borderId="0" xfId="5" applyNumberFormat="1" applyFont="1" applyFill="1" applyBorder="1" applyProtection="1"/>
    <xf numFmtId="173" fontId="3" fillId="13" borderId="0" xfId="1" applyNumberFormat="1" applyFill="1" applyBorder="1" applyProtection="1"/>
    <xf numFmtId="0" fontId="3" fillId="33" borderId="4" xfId="1" applyFont="1" applyFill="1" applyBorder="1" applyProtection="1"/>
    <xf numFmtId="166" fontId="0" fillId="33" borderId="6" xfId="4" applyNumberFormat="1" applyFont="1" applyFill="1" applyBorder="1" applyAlignment="1" applyProtection="1">
      <alignment horizontal="center"/>
    </xf>
    <xf numFmtId="166" fontId="0" fillId="33" borderId="21" xfId="4" applyNumberFormat="1" applyFont="1" applyFill="1" applyBorder="1" applyAlignment="1" applyProtection="1">
      <alignment horizontal="center"/>
    </xf>
    <xf numFmtId="166" fontId="0" fillId="33" borderId="4" xfId="4" applyNumberFormat="1" applyFont="1" applyFill="1" applyBorder="1" applyAlignment="1" applyProtection="1">
      <alignment horizontal="center"/>
    </xf>
    <xf numFmtId="171" fontId="0" fillId="33" borderId="6" xfId="5" applyNumberFormat="1" applyFont="1" applyFill="1" applyBorder="1" applyAlignment="1" applyProtection="1">
      <alignment horizontal="center"/>
    </xf>
    <xf numFmtId="171" fontId="0" fillId="33" borderId="21" xfId="5" applyNumberFormat="1" applyFont="1" applyFill="1" applyBorder="1" applyAlignment="1" applyProtection="1">
      <alignment horizontal="center"/>
    </xf>
    <xf numFmtId="164" fontId="0" fillId="33" borderId="4" xfId="4" applyFont="1" applyFill="1" applyBorder="1" applyProtection="1"/>
    <xf numFmtId="0" fontId="3" fillId="33" borderId="4" xfId="1" applyFill="1" applyBorder="1" applyAlignment="1" applyProtection="1">
      <alignment horizontal="center" vertical="center" wrapText="1"/>
    </xf>
    <xf numFmtId="0" fontId="3" fillId="33" borderId="6" xfId="1" quotePrefix="1" applyFill="1" applyBorder="1" applyAlignment="1" applyProtection="1">
      <alignment horizontal="center"/>
    </xf>
    <xf numFmtId="0" fontId="3" fillId="33" borderId="21" xfId="1" quotePrefix="1" applyFill="1" applyBorder="1" applyAlignment="1" applyProtection="1">
      <alignment horizontal="center"/>
    </xf>
    <xf numFmtId="166" fontId="3" fillId="33" borderId="4" xfId="1" applyNumberFormat="1" applyFill="1" applyBorder="1" applyAlignment="1" applyProtection="1">
      <alignment horizontal="center"/>
    </xf>
    <xf numFmtId="0" fontId="3" fillId="33" borderId="4" xfId="1" applyFill="1" applyBorder="1" applyProtection="1"/>
    <xf numFmtId="2" fontId="0" fillId="33" borderId="6" xfId="7" applyNumberFormat="1" applyFont="1" applyFill="1" applyBorder="1" applyAlignment="1" applyProtection="1">
      <alignment horizontal="center"/>
    </xf>
    <xf numFmtId="2" fontId="0" fillId="33" borderId="21" xfId="7" applyNumberFormat="1" applyFont="1" applyFill="1" applyBorder="1" applyAlignment="1" applyProtection="1">
      <alignment horizontal="center"/>
    </xf>
    <xf numFmtId="0" fontId="3" fillId="14" borderId="3" xfId="1" applyFill="1" applyBorder="1" applyAlignment="1" applyProtection="1">
      <alignment horizontal="center" vertical="center" wrapText="1"/>
    </xf>
    <xf numFmtId="0" fontId="3" fillId="14" borderId="0" xfId="1" quotePrefix="1" applyFill="1" applyBorder="1" applyAlignment="1" applyProtection="1">
      <alignment horizontal="center"/>
    </xf>
    <xf numFmtId="9" fontId="3" fillId="14" borderId="3" xfId="1" applyNumberFormat="1" applyFill="1" applyBorder="1" applyAlignment="1" applyProtection="1">
      <alignment horizontal="center"/>
    </xf>
    <xf numFmtId="9" fontId="3" fillId="14" borderId="9" xfId="1" applyNumberFormat="1" applyFill="1" applyBorder="1" applyAlignment="1" applyProtection="1">
      <alignment horizontal="center"/>
    </xf>
    <xf numFmtId="166" fontId="3" fillId="14" borderId="3" xfId="1" applyNumberFormat="1" applyFill="1" applyBorder="1" applyAlignment="1" applyProtection="1">
      <alignment horizontal="center"/>
    </xf>
    <xf numFmtId="171" fontId="0" fillId="14" borderId="0" xfId="5" applyNumberFormat="1" applyFont="1" applyFill="1" applyBorder="1" applyAlignment="1" applyProtection="1">
      <alignment horizontal="center"/>
    </xf>
    <xf numFmtId="171" fontId="0" fillId="14" borderId="9" xfId="5" applyNumberFormat="1" applyFont="1" applyFill="1" applyBorder="1" applyAlignment="1" applyProtection="1">
      <alignment horizontal="center"/>
    </xf>
    <xf numFmtId="2" fontId="0" fillId="14" borderId="0" xfId="7" applyNumberFormat="1" applyFont="1" applyFill="1" applyBorder="1" applyAlignment="1" applyProtection="1">
      <alignment horizontal="center"/>
    </xf>
    <xf numFmtId="2" fontId="0" fillId="14" borderId="9" xfId="7" applyNumberFormat="1" applyFont="1" applyFill="1" applyBorder="1" applyAlignment="1" applyProtection="1">
      <alignment horizontal="center"/>
    </xf>
    <xf numFmtId="166" fontId="0" fillId="14" borderId="0" xfId="4" applyNumberFormat="1" applyFont="1" applyFill="1" applyBorder="1" applyAlignment="1" applyProtection="1">
      <alignment horizontal="center"/>
    </xf>
    <xf numFmtId="166" fontId="0" fillId="14" borderId="9" xfId="4" applyNumberFormat="1" applyFont="1" applyFill="1" applyBorder="1" applyAlignment="1" applyProtection="1">
      <alignment horizontal="center"/>
    </xf>
    <xf numFmtId="164" fontId="0" fillId="14" borderId="3" xfId="4" applyFont="1" applyFill="1" applyBorder="1" applyProtection="1"/>
    <xf numFmtId="166" fontId="0" fillId="14" borderId="3" xfId="4" applyNumberFormat="1" applyFont="1" applyFill="1" applyBorder="1" applyAlignment="1" applyProtection="1">
      <alignment horizontal="center"/>
    </xf>
    <xf numFmtId="0" fontId="3" fillId="14" borderId="3" xfId="1" applyFont="1" applyFill="1" applyBorder="1" applyProtection="1"/>
    <xf numFmtId="0" fontId="0" fillId="0" borderId="0" xfId="0" applyFill="1" applyAlignment="1"/>
    <xf numFmtId="0" fontId="0" fillId="0" borderId="0" xfId="0" applyAlignment="1">
      <alignment horizontal="left" vertical="top"/>
    </xf>
    <xf numFmtId="0" fontId="2" fillId="36" borderId="0" xfId="0" applyFont="1" applyFill="1" applyAlignment="1">
      <alignment vertical="center"/>
    </xf>
    <xf numFmtId="0" fontId="0" fillId="0" borderId="0" xfId="0" applyAlignment="1">
      <alignment vertical="center"/>
    </xf>
    <xf numFmtId="0" fontId="2" fillId="36" borderId="0" xfId="0" applyFont="1" applyFill="1" applyAlignment="1">
      <alignment vertical="center" wrapText="1"/>
    </xf>
    <xf numFmtId="0" fontId="0" fillId="0" borderId="0" xfId="0" applyAlignment="1">
      <alignment vertical="center" wrapText="1"/>
    </xf>
    <xf numFmtId="0" fontId="40" fillId="30" borderId="0" xfId="0" applyFont="1" applyFill="1"/>
    <xf numFmtId="0" fontId="41" fillId="30" borderId="0" xfId="1" applyFont="1" applyFill="1" applyBorder="1" applyProtection="1">
      <protection locked="0"/>
    </xf>
    <xf numFmtId="0" fontId="40" fillId="30" borderId="58" xfId="0" applyFont="1" applyFill="1" applyBorder="1"/>
    <xf numFmtId="0" fontId="40" fillId="30" borderId="65" xfId="0" applyFont="1" applyFill="1" applyBorder="1"/>
    <xf numFmtId="0" fontId="40" fillId="30" borderId="60" xfId="0" applyFont="1" applyFill="1" applyBorder="1"/>
    <xf numFmtId="0" fontId="40" fillId="30" borderId="67" xfId="0" applyFont="1" applyFill="1" applyBorder="1"/>
    <xf numFmtId="0" fontId="40" fillId="30" borderId="61" xfId="0" applyFont="1" applyFill="1" applyBorder="1"/>
    <xf numFmtId="0" fontId="40" fillId="30" borderId="35" xfId="0" applyFont="1" applyFill="1" applyBorder="1"/>
    <xf numFmtId="0" fontId="40" fillId="30" borderId="59" xfId="0" applyFont="1" applyFill="1" applyBorder="1"/>
    <xf numFmtId="0" fontId="40" fillId="30" borderId="0" xfId="0" applyFont="1" applyFill="1" applyBorder="1"/>
    <xf numFmtId="0" fontId="40" fillId="30" borderId="62" xfId="0" applyFont="1" applyFill="1" applyBorder="1"/>
    <xf numFmtId="0" fontId="39" fillId="30" borderId="0" xfId="0" applyFont="1" applyFill="1" applyBorder="1" applyAlignment="1">
      <alignment wrapText="1"/>
    </xf>
    <xf numFmtId="0" fontId="40" fillId="30" borderId="0" xfId="0" applyFont="1" applyFill="1" applyBorder="1" applyAlignment="1">
      <alignment wrapText="1"/>
    </xf>
    <xf numFmtId="0" fontId="39" fillId="30" borderId="0" xfId="0" applyFont="1" applyFill="1" applyBorder="1"/>
    <xf numFmtId="0" fontId="40" fillId="30" borderId="0" xfId="0" applyFont="1" applyFill="1" applyBorder="1" applyAlignment="1">
      <alignment horizontal="center" wrapText="1"/>
    </xf>
    <xf numFmtId="0" fontId="38" fillId="30" borderId="0" xfId="0" applyFont="1" applyFill="1"/>
    <xf numFmtId="0" fontId="9" fillId="32" borderId="0" xfId="0" applyFont="1" applyFill="1" applyBorder="1" applyAlignment="1">
      <alignment vertical="center" wrapText="1"/>
    </xf>
    <xf numFmtId="0" fontId="3" fillId="12" borderId="12" xfId="1" applyFill="1" applyBorder="1" applyProtection="1"/>
    <xf numFmtId="0" fontId="3" fillId="13" borderId="2" xfId="1" applyFill="1" applyBorder="1" applyAlignment="1" applyProtection="1">
      <alignment horizontal="right"/>
      <protection locked="0"/>
    </xf>
    <xf numFmtId="0" fontId="2" fillId="13" borderId="3" xfId="1" applyFont="1" applyFill="1" applyBorder="1" applyProtection="1">
      <protection locked="0"/>
    </xf>
    <xf numFmtId="167" fontId="8" fillId="2" borderId="1" xfId="2" applyNumberFormat="1" applyBorder="1" applyProtection="1">
      <protection locked="0"/>
    </xf>
    <xf numFmtId="168" fontId="8" fillId="2" borderId="1" xfId="2" applyNumberFormat="1" applyBorder="1" applyProtection="1">
      <protection locked="0"/>
    </xf>
    <xf numFmtId="169" fontId="8" fillId="2" borderId="1" xfId="2" applyNumberFormat="1" applyBorder="1" applyProtection="1">
      <protection locked="0"/>
    </xf>
    <xf numFmtId="0" fontId="2" fillId="13" borderId="19" xfId="1" applyFont="1" applyFill="1" applyBorder="1" applyProtection="1">
      <protection locked="0"/>
    </xf>
    <xf numFmtId="0" fontId="2" fillId="13" borderId="9" xfId="1" applyFont="1" applyFill="1" applyBorder="1" applyProtection="1">
      <protection locked="0"/>
    </xf>
    <xf numFmtId="0" fontId="2" fillId="13" borderId="21" xfId="1" applyFont="1" applyFill="1" applyBorder="1" applyProtection="1">
      <protection locked="0"/>
    </xf>
    <xf numFmtId="0" fontId="2" fillId="30" borderId="2" xfId="1" applyFont="1" applyFill="1" applyBorder="1" applyAlignment="1" applyProtection="1">
      <alignment horizontal="right"/>
      <protection locked="0"/>
    </xf>
    <xf numFmtId="3" fontId="36" fillId="2" borderId="1" xfId="32" applyNumberFormat="1" applyAlignment="1" applyProtection="1">
      <alignment horizontal="center"/>
      <protection locked="0"/>
    </xf>
    <xf numFmtId="0" fontId="45" fillId="2" borderId="1" xfId="2" applyFont="1" applyAlignment="1" applyProtection="1">
      <alignment horizontal="center" vertical="center"/>
      <protection locked="0"/>
    </xf>
    <xf numFmtId="0" fontId="0" fillId="0" borderId="0" xfId="0" applyBorder="1"/>
    <xf numFmtId="0" fontId="0" fillId="0" borderId="0" xfId="0" applyFill="1" applyBorder="1"/>
    <xf numFmtId="0" fontId="0" fillId="0" borderId="0" xfId="0" applyFill="1"/>
    <xf numFmtId="0" fontId="2" fillId="0" borderId="0" xfId="0" applyFont="1" applyFill="1" applyAlignment="1">
      <alignment horizontal="center"/>
    </xf>
    <xf numFmtId="0" fontId="44" fillId="0" borderId="0" xfId="0" applyFont="1" applyFill="1" applyBorder="1" applyAlignment="1">
      <alignment horizontal="right"/>
    </xf>
    <xf numFmtId="0" fontId="2" fillId="0" borderId="0" xfId="1" applyFont="1" applyFill="1" applyBorder="1" applyAlignment="1" applyProtection="1">
      <alignment horizontal="right"/>
      <protection locked="0"/>
    </xf>
    <xf numFmtId="0" fontId="0" fillId="0" borderId="0" xfId="0" quotePrefix="1" applyAlignment="1">
      <alignment vertical="center" wrapText="1"/>
    </xf>
    <xf numFmtId="0" fontId="46" fillId="13" borderId="0" xfId="1" applyFont="1" applyFill="1" applyBorder="1" applyAlignment="1" applyProtection="1">
      <alignment horizontal="center"/>
    </xf>
    <xf numFmtId="0" fontId="2" fillId="13" borderId="0" xfId="1" applyFont="1" applyFill="1" applyBorder="1" applyProtection="1"/>
    <xf numFmtId="10" fontId="19" fillId="18" borderId="22" xfId="14" applyNumberFormat="1" applyFont="1" applyFill="1" applyBorder="1"/>
    <xf numFmtId="10" fontId="36" fillId="2" borderId="1" xfId="14" applyNumberFormat="1" applyFont="1" applyFill="1" applyBorder="1"/>
    <xf numFmtId="0" fontId="2" fillId="13" borderId="5" xfId="1" applyFont="1" applyFill="1" applyBorder="1" applyAlignment="1" applyProtection="1">
      <alignment horizontal="right"/>
    </xf>
    <xf numFmtId="180" fontId="0" fillId="0" borderId="0" xfId="0" applyNumberFormat="1"/>
    <xf numFmtId="0" fontId="10" fillId="14" borderId="1" xfId="2" applyFont="1" applyFill="1" applyBorder="1" applyAlignment="1" applyProtection="1">
      <alignment horizontal="center"/>
    </xf>
    <xf numFmtId="0" fontId="0" fillId="0" borderId="0" xfId="0" applyFont="1" applyFill="1"/>
    <xf numFmtId="0" fontId="47" fillId="13" borderId="0" xfId="1" applyFont="1" applyFill="1" applyBorder="1" applyAlignment="1" applyProtection="1">
      <alignment horizontal="center" vertical="center"/>
    </xf>
    <xf numFmtId="0" fontId="1" fillId="0" borderId="58" xfId="25" applyBorder="1" applyAlignment="1">
      <alignment horizontal="right"/>
    </xf>
    <xf numFmtId="171" fontId="1" fillId="15" borderId="59" xfId="25" applyNumberFormat="1" applyFill="1" applyBorder="1"/>
    <xf numFmtId="171" fontId="1" fillId="32" borderId="59" xfId="25" applyNumberFormat="1" applyFill="1" applyBorder="1"/>
    <xf numFmtId="0" fontId="1" fillId="32" borderId="59" xfId="25" applyFill="1" applyBorder="1"/>
    <xf numFmtId="14" fontId="1" fillId="32" borderId="59" xfId="25" applyNumberFormat="1" applyFill="1" applyBorder="1"/>
    <xf numFmtId="0" fontId="34" fillId="0" borderId="65" xfId="25" applyFont="1" applyFill="1" applyBorder="1" applyAlignment="1">
      <alignment horizontal="center"/>
    </xf>
    <xf numFmtId="0" fontId="1" fillId="0" borderId="60" xfId="25" applyBorder="1" applyAlignment="1">
      <alignment horizontal="right"/>
    </xf>
    <xf numFmtId="171" fontId="1" fillId="15" borderId="0" xfId="25" applyNumberFormat="1" applyFill="1" applyBorder="1"/>
    <xf numFmtId="171" fontId="1" fillId="32" borderId="0" xfId="25" applyNumberFormat="1" applyFill="1" applyBorder="1"/>
    <xf numFmtId="0" fontId="1" fillId="32" borderId="0" xfId="25" applyFill="1" applyBorder="1"/>
    <xf numFmtId="14" fontId="1" fillId="32" borderId="0" xfId="25" applyNumberFormat="1" applyFill="1" applyBorder="1"/>
    <xf numFmtId="0" fontId="0" fillId="0" borderId="67" xfId="25" applyFont="1" applyFill="1" applyBorder="1" applyAlignment="1">
      <alignment horizontal="left" vertical="top"/>
    </xf>
    <xf numFmtId="0" fontId="35" fillId="0" borderId="0" xfId="31" applyBorder="1"/>
    <xf numFmtId="0" fontId="0" fillId="0" borderId="0" xfId="25" applyFont="1" applyBorder="1"/>
    <xf numFmtId="0" fontId="1" fillId="0" borderId="67" xfId="25" applyFill="1" applyBorder="1"/>
    <xf numFmtId="0" fontId="0" fillId="15" borderId="60" xfId="0" applyFill="1" applyBorder="1"/>
    <xf numFmtId="0" fontId="0" fillId="0" borderId="67" xfId="0" applyBorder="1"/>
    <xf numFmtId="0" fontId="0" fillId="0" borderId="60" xfId="0" applyBorder="1"/>
    <xf numFmtId="0" fontId="0" fillId="32" borderId="61" xfId="0" applyFill="1" applyBorder="1"/>
    <xf numFmtId="0" fontId="0" fillId="0" borderId="62" xfId="0" applyBorder="1"/>
    <xf numFmtId="0" fontId="0" fillId="0" borderId="35" xfId="0" applyBorder="1"/>
    <xf numFmtId="0" fontId="4" fillId="0" borderId="0" xfId="1" applyFont="1" applyBorder="1" applyAlignment="1" applyProtection="1">
      <alignment vertical="center" wrapText="1"/>
      <protection locked="0"/>
    </xf>
    <xf numFmtId="0" fontId="37" fillId="0" borderId="0" xfId="1" applyFont="1" applyBorder="1" applyAlignment="1" applyProtection="1">
      <protection locked="0"/>
    </xf>
    <xf numFmtId="0" fontId="6" fillId="13" borderId="7" xfId="1" applyFont="1" applyFill="1" applyBorder="1" applyAlignment="1" applyProtection="1">
      <alignment horizontal="right" vertical="center" indent="1"/>
    </xf>
    <xf numFmtId="0" fontId="6" fillId="13" borderId="8" xfId="1" applyFont="1" applyFill="1" applyBorder="1" applyAlignment="1" applyProtection="1">
      <alignment horizontal="right" vertical="center" indent="1"/>
    </xf>
    <xf numFmtId="0" fontId="7" fillId="10" borderId="3" xfId="1" applyFont="1" applyFill="1" applyBorder="1" applyAlignment="1" applyProtection="1">
      <alignment horizontal="left" vertical="center" indent="1"/>
      <protection locked="0"/>
    </xf>
    <xf numFmtId="0" fontId="7" fillId="10" borderId="9" xfId="1" applyFont="1" applyFill="1" applyBorder="1" applyAlignment="1" applyProtection="1">
      <alignment horizontal="left" vertical="center" indent="1"/>
      <protection locked="0"/>
    </xf>
    <xf numFmtId="0" fontId="2" fillId="13" borderId="0" xfId="1" applyFont="1" applyFill="1" applyBorder="1" applyAlignment="1" applyProtection="1">
      <alignment horizontal="center"/>
      <protection locked="0"/>
    </xf>
    <xf numFmtId="0" fontId="2" fillId="0" borderId="0" xfId="1" applyFont="1" applyBorder="1" applyAlignment="1">
      <alignment horizontal="center"/>
    </xf>
    <xf numFmtId="0" fontId="28" fillId="11" borderId="27" xfId="19" applyFont="1" applyFill="1" applyBorder="1" applyAlignment="1">
      <alignment horizontal="center" vertical="center"/>
    </xf>
    <xf numFmtId="0" fontId="28" fillId="11" borderId="28" xfId="19" applyFont="1" applyFill="1" applyBorder="1" applyAlignment="1">
      <alignment horizontal="center" vertical="center"/>
    </xf>
    <xf numFmtId="0" fontId="28" fillId="11" borderId="29" xfId="19" applyFont="1" applyFill="1" applyBorder="1" applyAlignment="1">
      <alignment horizontal="center" vertical="center"/>
    </xf>
    <xf numFmtId="0" fontId="0" fillId="0" borderId="0" xfId="0" applyAlignment="1">
      <alignment horizontal="center"/>
    </xf>
  </cellXfs>
  <cellStyles count="34">
    <cellStyle name="20% - Accent1 2" xfId="8" xr:uid="{00000000-0005-0000-0000-000000000000}"/>
    <cellStyle name="20% - Accent1 2 2" xfId="23" xr:uid="{00000000-0005-0000-0000-000001000000}"/>
    <cellStyle name="20% - Accent2 2" xfId="9" xr:uid="{00000000-0005-0000-0000-000002000000}"/>
    <cellStyle name="20% - Accent3 2" xfId="18" xr:uid="{00000000-0005-0000-0000-000003000000}"/>
    <cellStyle name="20% - Accent4 2" xfId="11" xr:uid="{00000000-0005-0000-0000-000004000000}"/>
    <cellStyle name="20% - Accent6 2" xfId="12" xr:uid="{00000000-0005-0000-0000-000005000000}"/>
    <cellStyle name="40% - Accent3 2" xfId="10" xr:uid="{00000000-0005-0000-0000-000006000000}"/>
    <cellStyle name="Accent1 2" xfId="22" xr:uid="{00000000-0005-0000-0000-000007000000}"/>
    <cellStyle name="Accent4 2" xfId="29" xr:uid="{00000000-0005-0000-0000-000008000000}"/>
    <cellStyle name="Calculation" xfId="16" builtinId="22"/>
    <cellStyle name="Comma [0] 2" xfId="3" xr:uid="{00000000-0005-0000-0000-00000A000000}"/>
    <cellStyle name="Comma 2" xfId="7" xr:uid="{00000000-0005-0000-0000-00000B000000}"/>
    <cellStyle name="Comma 3 2" xfId="30" xr:uid="{00000000-0005-0000-0000-00000C000000}"/>
    <cellStyle name="Currency" xfId="13" builtinId="4"/>
    <cellStyle name="Currency [0] 2" xfId="4" xr:uid="{00000000-0005-0000-0000-00000E000000}"/>
    <cellStyle name="Currency [0] 2 2" xfId="27" xr:uid="{00000000-0005-0000-0000-00000F000000}"/>
    <cellStyle name="Currency 2" xfId="5" xr:uid="{00000000-0005-0000-0000-000010000000}"/>
    <cellStyle name="Currency 2 2" xfId="28" xr:uid="{00000000-0005-0000-0000-000011000000}"/>
    <cellStyle name="Good 2" xfId="21" xr:uid="{00000000-0005-0000-0000-000012000000}"/>
    <cellStyle name="Hyperlink" xfId="31" builtinId="8"/>
    <cellStyle name="Input" xfId="32" builtinId="20"/>
    <cellStyle name="Input 2" xfId="2" xr:uid="{00000000-0005-0000-0000-000015000000}"/>
    <cellStyle name="Normal" xfId="0" builtinId="0"/>
    <cellStyle name="Normal 2" xfId="1" xr:uid="{00000000-0005-0000-0000-000017000000}"/>
    <cellStyle name="Normal 2 2" xfId="19" xr:uid="{00000000-0005-0000-0000-000018000000}"/>
    <cellStyle name="Normal 3" xfId="33" xr:uid="{00000000-0005-0000-0000-000019000000}"/>
    <cellStyle name="Normal 3 2" xfId="25" xr:uid="{00000000-0005-0000-0000-00001A000000}"/>
    <cellStyle name="Normal 5" xfId="17" xr:uid="{00000000-0005-0000-0000-00001B000000}"/>
    <cellStyle name="Note 2" xfId="20" xr:uid="{00000000-0005-0000-0000-00001C000000}"/>
    <cellStyle name="Output" xfId="15" builtinId="21"/>
    <cellStyle name="Output 2" xfId="24" xr:uid="{00000000-0005-0000-0000-00001E000000}"/>
    <cellStyle name="Percent" xfId="14" builtinId="5"/>
    <cellStyle name="Percent 2" xfId="6" xr:uid="{00000000-0005-0000-0000-000020000000}"/>
    <cellStyle name="Percent 2 2" xfId="26" xr:uid="{00000000-0005-0000-0000-000021000000}"/>
  </cellStyles>
  <dxfs count="28">
    <dxf>
      <font>
        <color rgb="FF9C0006"/>
      </font>
      <fill>
        <patternFill>
          <bgColor rgb="FFFFC7CE"/>
        </patternFill>
      </fill>
    </dxf>
    <dxf>
      <font>
        <b val="0"/>
        <i val="0"/>
        <strike val="0"/>
        <condense val="0"/>
        <extend val="0"/>
        <outline val="0"/>
        <shadow val="0"/>
        <u val="none"/>
        <vertAlign val="baseline"/>
        <sz val="8.5"/>
        <color theme="1"/>
        <name val="Verdana"/>
        <scheme val="none"/>
      </font>
    </dxf>
    <dxf>
      <alignment horizontal="center" vertical="bottom" textRotation="0" indent="0" justifyLastLine="0" shrinkToFit="0" readingOrder="0"/>
    </dxf>
    <dxf>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5"/>
        <color theme="1"/>
        <name val="Verdana"/>
        <scheme val="none"/>
      </font>
    </dxf>
    <dxf>
      <numFmt numFmtId="174" formatCode="_ &quot;€&quot;\ * #,##0_ ;_ &quot;€&quot;\ * \-#,##0_ ;_ &quot;€&quot;\ * &quot;-&quot;??_ ;_ @_ "/>
    </dxf>
    <dxf>
      <numFmt numFmtId="174" formatCode="_ &quot;€&quot;\ * #,##0_ ;_ &quot;€&quot;\ * \-#,##0_ ;_ &quot;€&quot;\ * &quot;-&quot;??_ ;_ @_ "/>
    </dxf>
    <dxf>
      <numFmt numFmtId="13" formatCode="0%"/>
    </dxf>
    <dxf>
      <numFmt numFmtId="14" formatCode="0.00%"/>
    </dxf>
    <dxf>
      <font>
        <b val="0"/>
        <i val="0"/>
        <strike val="0"/>
        <condense val="0"/>
        <extend val="0"/>
        <outline val="0"/>
        <shadow val="0"/>
        <u val="none"/>
        <vertAlign val="baseline"/>
        <sz val="8.5"/>
        <color theme="1"/>
        <name val="Verdana"/>
        <scheme val="none"/>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8"/>
        <color theme="1"/>
        <name val="Verdana"/>
        <scheme val="none"/>
      </font>
    </dxf>
    <dxf>
      <font>
        <b/>
        <i val="0"/>
        <strike val="0"/>
        <condense val="0"/>
        <extend val="0"/>
        <outline val="0"/>
        <shadow val="0"/>
        <u val="none"/>
        <vertAlign val="baseline"/>
        <sz val="8"/>
        <color theme="1"/>
        <name val="Verdana"/>
        <scheme val="none"/>
      </font>
    </dxf>
    <dxf>
      <numFmt numFmtId="176" formatCode="_ [$€-413]\ * #,##0.00_ ;_ [$€-413]\ * \-#,##0.00_ ;_ [$€-413]\ * &quot;-&quot;??_ ;_ @_ "/>
    </dxf>
    <dxf>
      <numFmt numFmtId="176" formatCode="_ [$€-413]\ * #,##0.00_ ;_ [$€-413]\ * \-#,##0.00_ ;_ [$€-413]\ * &quot;-&quot;??_ ;_ @_ "/>
    </dxf>
    <dxf>
      <numFmt numFmtId="176" formatCode="_ [$€-413]\ * #,##0.00_ ;_ [$€-413]\ * \-#,##0.00_ ;_ [$€-413]\ * &quot;-&quot;??_ ;_ @_ "/>
    </dxf>
    <dxf>
      <numFmt numFmtId="176" formatCode="_ [$€-413]\ * #,##0.00_ ;_ [$€-413]\ * \-#,##0.00_ ;_ [$€-413]\ * &quot;-&quot;??_ ;_ @_ "/>
    </dxf>
    <dxf>
      <numFmt numFmtId="176" formatCode="_ [$€-413]\ * #,##0.00_ ;_ [$€-413]\ * \-#,##0.00_ ;_ [$€-413]\ * &quot;-&quot;??_ ;_ @_ "/>
    </dxf>
    <dxf>
      <numFmt numFmtId="176" formatCode="_ [$€-413]\ * #,##0.00_ ;_ [$€-413]\ * \-#,##0.00_ ;_ [$€-413]\ * &quot;-&quot;??_ ;_ @_ "/>
    </dxf>
    <dxf>
      <font>
        <b val="0"/>
        <i val="0"/>
        <strike val="0"/>
        <condense val="0"/>
        <extend val="0"/>
        <outline val="0"/>
        <shadow val="0"/>
        <u val="none"/>
        <vertAlign val="baseline"/>
        <sz val="8.5"/>
        <color theme="1"/>
        <name val="Verdana"/>
        <scheme val="none"/>
      </font>
      <numFmt numFmtId="174" formatCode="_ &quot;€&quot;\ * #,##0_ ;_ &quot;€&quot;\ * \-#,##0_ ;_ &quot;€&quot;\ * &quot;-&quot;??_ ;_ @_ "/>
    </dxf>
    <dxf>
      <numFmt numFmtId="174" formatCode="_ &quot;€&quot;\ * #,##0_ ;_ &quot;€&quot;\ * \-#,##0_ ;_ &quot;€&quot;\ * &quot;-&quot;??_ ;_ @_ "/>
    </dxf>
    <dxf>
      <numFmt numFmtId="174" formatCode="_ &quot;€&quot;\ * #,##0_ ;_ &quot;€&quot;\ * \-#,##0_ ;_ &quot;€&quot;\ * &quot;-&quot;??_ ;_ @_ "/>
    </dxf>
    <dxf>
      <numFmt numFmtId="0" formatCode="General"/>
    </dxf>
    <dxf>
      <numFmt numFmtId="3" formatCode="#,##0"/>
    </dxf>
    <dxf>
      <font>
        <b/>
        <i val="0"/>
        <color rgb="FFC00000"/>
      </font>
    </dxf>
    <dxf>
      <font>
        <b/>
        <i val="0"/>
        <color rgb="FFC00000"/>
      </font>
    </dxf>
    <dxf>
      <font>
        <b/>
        <i val="0"/>
        <color theme="0"/>
      </font>
      <fill>
        <patternFill>
          <bgColor rgb="FFC00000"/>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microsoft.com/office/2006/relationships/vbaProject" Target="vbaProject.bin"/><Relationship Id="rId5" Type="http://schemas.openxmlformats.org/officeDocument/2006/relationships/chartsheet" Target="chartsheets/sheet2.xml"/><Relationship Id="rId15" Type="http://schemas.openxmlformats.org/officeDocument/2006/relationships/worksheet" Target="worksheets/sheet13.xml"/><Relationship Id="rId23" Type="http://schemas.openxmlformats.org/officeDocument/2006/relationships/calcChain" Target="calcChain.xml"/><Relationship Id="rId10" Type="http://schemas.openxmlformats.org/officeDocument/2006/relationships/worksheet" Target="worksheets/sheet8.xml"/><Relationship Id="rId19" Type="http://schemas.openxmlformats.org/officeDocument/2006/relationships/externalLink" Target="externalLinks/externalLink2.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r>
              <a:rPr lang="en-GB" baseline="0"/>
              <a:t>Voertuigkosten per jaar per voertuig</a:t>
            </a:r>
            <a:endParaRPr lang="en-GB"/>
          </a:p>
        </c:rich>
      </c:tx>
      <c:layout>
        <c:manualLayout>
          <c:xMode val="edge"/>
          <c:yMode val="edge"/>
          <c:x val="0.34592458402707826"/>
          <c:y val="2.305203955933810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endParaRPr lang="nl-NL"/>
        </a:p>
      </c:txPr>
    </c:title>
    <c:autoTitleDeleted val="0"/>
    <c:plotArea>
      <c:layout/>
      <c:barChart>
        <c:barDir val="col"/>
        <c:grouping val="stacked"/>
        <c:varyColors val="0"/>
        <c:dLbls>
          <c:showLegendKey val="0"/>
          <c:showVal val="0"/>
          <c:showCatName val="0"/>
          <c:showSerName val="0"/>
          <c:showPercent val="0"/>
          <c:showBubbleSize val="0"/>
        </c:dLbls>
        <c:gapWidth val="150"/>
        <c:overlap val="100"/>
        <c:axId val="380829576"/>
        <c:axId val="381218264"/>
        <c:extLst>
          <c:ext xmlns:c15="http://schemas.microsoft.com/office/drawing/2012/chart" uri="{02D57815-91ED-43cb-92C2-25804820EDAC}">
            <c15:filteredBarSeries>
              <c15:ser>
                <c:idx val="0"/>
                <c:order val="0"/>
                <c:tx>
                  <c:strRef>
                    <c:extLst>
                      <c:ext uri="{02D57815-91ED-43cb-92C2-25804820EDAC}">
                        <c15:formulaRef>
                          <c15:sqref>'Breakeven analyse'!$F$90</c15:sqref>
                        </c15:formulaRef>
                      </c:ext>
                    </c:extLst>
                    <c:strCache>
                      <c:ptCount val="1"/>
                      <c:pt idx="0">
                        <c:v>Investment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multiLvlStrRef>
                    <c:extLst>
                      <c:ex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c:ext uri="{02D57815-91ED-43cb-92C2-25804820EDAC}">
                        <c15:formulaRef>
                          <c15:sqref>'Breakeven analyse'!$F$91:$F$150</c15:sqref>
                        </c15:formulaRef>
                      </c:ext>
                    </c:extLst>
                    <c:numCache>
                      <c:formatCode>_("€"* #,##0_);_("€"* \(#,##0\);_("€"* "-"_);_(@_)</c:formatCode>
                      <c:ptCount val="60"/>
                    </c:numCache>
                  </c:numRef>
                </c:val>
                <c:extLst>
                  <c:ext xmlns:c16="http://schemas.microsoft.com/office/drawing/2014/chart" uri="{C3380CC4-5D6E-409C-BE32-E72D297353CC}">
                    <c16:uniqueId val="{00000003-6CD1-4F48-8EC4-4CB835AD6B07}"/>
                  </c:ext>
                </c:extLst>
              </c15:ser>
            </c15:filteredBarSeries>
            <c15:filteredBarSeries>
              <c15:ser>
                <c:idx val="11"/>
                <c:order val="1"/>
                <c:tx>
                  <c:strRef>
                    <c:extLst xmlns:c15="http://schemas.microsoft.com/office/drawing/2012/chart">
                      <c:ext xmlns:c15="http://schemas.microsoft.com/office/drawing/2012/chart" uri="{02D57815-91ED-43cb-92C2-25804820EDAC}">
                        <c15:formulaRef>
                          <c15:sqref>'Breakeven analyse'!$G$90</c15:sqref>
                        </c15:formulaRef>
                      </c:ext>
                    </c:extLst>
                    <c:strCache>
                      <c:ptCount val="1"/>
                      <c:pt idx="0">
                        <c:v>Depreciation</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analyse'!$G$91:$G$150</c15:sqref>
                        </c15:formulaRef>
                      </c:ext>
                    </c:extLst>
                    <c:numCache>
                      <c:formatCode>_("€"* #,##0_);_("€"* \(#,##0\);_("€"* "-"_);_(@_)</c:formatCode>
                      <c:ptCount val="60"/>
                      <c:pt idx="0">
                        <c:v>31256.926032337469</c:v>
                      </c:pt>
                      <c:pt idx="1">
                        <c:v>46647.486865492167</c:v>
                      </c:pt>
                      <c:pt idx="2">
                        <c:v>76708.960181374263</c:v>
                      </c:pt>
                      <c:pt idx="3">
                        <c:v>25779.880213986824</c:v>
                      </c:pt>
                      <c:pt idx="4">
                        <c:v>38473.604935807591</c:v>
                      </c:pt>
                      <c:pt idx="5">
                        <c:v>63267.507584379935</c:v>
                      </c:pt>
                      <c:pt idx="6">
                        <c:v>20902.414421423393</c:v>
                      </c:pt>
                      <c:pt idx="7">
                        <c:v>31194.529531524295</c:v>
                      </c:pt>
                      <c:pt idx="8">
                        <c:v>51297.509994703847</c:v>
                      </c:pt>
                      <c:pt idx="9">
                        <c:v>16947.74859380001</c:v>
                      </c:pt>
                      <c:pt idx="10">
                        <c:v>25292.630475276092</c:v>
                      </c:pt>
                      <c:pt idx="11">
                        <c:v>41592.19530099538</c:v>
                      </c:pt>
                      <c:pt idx="12">
                        <c:v>13741.292111415865</c:v>
                      </c:pt>
                      <c:pt idx="13">
                        <c:v>20507.350678662606</c:v>
                      </c:pt>
                      <c:pt idx="14">
                        <c:v>33723.093189800951</c:v>
                      </c:pt>
                      <c:pt idx="15">
                        <c:v>11141.486306938537</c:v>
                      </c:pt>
                      <c:pt idx="16">
                        <c:v>16627.429569602824</c:v>
                      </c:pt>
                      <c:pt idx="17">
                        <c:v>27342.798475962671</c:v>
                      </c:pt>
                      <c:pt idx="18">
                        <c:v>9033.5549321867165</c:v>
                      </c:pt>
                      <c:pt idx="19">
                        <c:v>13481.57635884993</c:v>
                      </c:pt>
                      <c:pt idx="20">
                        <c:v>22169.633855627966</c:v>
                      </c:pt>
                      <c:pt idx="21">
                        <c:v>32166.06100003704</c:v>
                      </c:pt>
                      <c:pt idx="22">
                        <c:v>46413.963548852218</c:v>
                      </c:pt>
                      <c:pt idx="23">
                        <c:v>39674.334646525909</c:v>
                      </c:pt>
                      <c:pt idx="24">
                        <c:v>26529.710524919959</c:v>
                      </c:pt>
                      <c:pt idx="25">
                        <c:v>38281.001123010312</c:v>
                      </c:pt>
                      <c:pt idx="26">
                        <c:v>32722.334681884829</c:v>
                      </c:pt>
                      <c:pt idx="27">
                        <c:v>21510.379383819363</c:v>
                      </c:pt>
                      <c:pt idx="28">
                        <c:v>31038.365706059707</c:v>
                      </c:pt>
                      <c:pt idx="29">
                        <c:v>26531.380079345076</c:v>
                      </c:pt>
                      <c:pt idx="30">
                        <c:v>17440.688649852367</c:v>
                      </c:pt>
                      <c:pt idx="31">
                        <c:v>25166.012315284617</c:v>
                      </c:pt>
                      <c:pt idx="32">
                        <c:v>21511.733064216725</c:v>
                      </c:pt>
                      <c:pt idx="33">
                        <c:v>14140.969582800539</c:v>
                      </c:pt>
                      <c:pt idx="34">
                        <c:v>20404.688244568595</c:v>
                      </c:pt>
                      <c:pt idx="35">
                        <c:v>17441.786218515423</c:v>
                      </c:pt>
                      <c:pt idx="36">
                        <c:v>11465.546157971377</c:v>
                      </c:pt>
                      <c:pt idx="37">
                        <c:v>16544.190519415894</c:v>
                      </c:pt>
                      <c:pt idx="38">
                        <c:v>14141.859495199677</c:v>
                      </c:pt>
                      <c:pt idx="39">
                        <c:v>9296.3037598541978</c:v>
                      </c:pt>
                      <c:pt idx="40">
                        <c:v>13414.085854293246</c:v>
                      </c:pt>
                      <c:pt idx="41">
                        <c:v>11466.267701966608</c:v>
                      </c:pt>
                      <c:pt idx="42">
                        <c:v>33075.19596773661</c:v>
                      </c:pt>
                      <c:pt idx="43">
                        <c:v>50152.496615856493</c:v>
                      </c:pt>
                      <c:pt idx="44">
                        <c:v>43412.867713530191</c:v>
                      </c:pt>
                      <c:pt idx="45">
                        <c:v>27279.540835853099</c:v>
                      </c:pt>
                      <c:pt idx="46">
                        <c:v>41364.443638876663</c:v>
                      </c:pt>
                      <c:pt idx="47">
                        <c:v>35805.777197751187</c:v>
                      </c:pt>
                      <c:pt idx="48">
                        <c:v>22118.344346215341</c:v>
                      </c:pt>
                      <c:pt idx="49">
                        <c:v>33538.43136875068</c:v>
                      </c:pt>
                      <c:pt idx="50">
                        <c:v>29031.445742036052</c:v>
                      </c:pt>
                      <c:pt idx="51">
                        <c:v>17933.628705904724</c:v>
                      </c:pt>
                      <c:pt idx="52">
                        <c:v>27193.074044376164</c:v>
                      </c:pt>
                      <c:pt idx="53">
                        <c:v>23538.79479330828</c:v>
                      </c:pt>
                      <c:pt idx="54">
                        <c:v>14540.647054185212</c:v>
                      </c:pt>
                      <c:pt idx="55">
                        <c:v>22048.236778059862</c:v>
                      </c:pt>
                      <c:pt idx="56">
                        <c:v>19085.334752006693</c:v>
                      </c:pt>
                      <c:pt idx="57">
                        <c:v>11789.606009004217</c:v>
                      </c:pt>
                      <c:pt idx="58">
                        <c:v>17876.785251571331</c:v>
                      </c:pt>
                      <c:pt idx="59">
                        <c:v>15474.454227355118</c:v>
                      </c:pt>
                    </c:numCache>
                  </c:numRef>
                </c:val>
                <c:extLst xmlns:c15="http://schemas.microsoft.com/office/drawing/2012/chart">
                  <c:ext xmlns:c16="http://schemas.microsoft.com/office/drawing/2014/chart" uri="{C3380CC4-5D6E-409C-BE32-E72D297353CC}">
                    <c16:uniqueId val="{00000004-6CD1-4F48-8EC4-4CB835AD6B07}"/>
                  </c:ext>
                </c:extLst>
              </c15:ser>
            </c15:filteredBarSeries>
            <c15:filteredBarSeries>
              <c15:ser>
                <c:idx val="1"/>
                <c:order val="2"/>
                <c:tx>
                  <c:strRef>
                    <c:extLst xmlns:c15="http://schemas.microsoft.com/office/drawing/2012/chart">
                      <c:ext xmlns:c15="http://schemas.microsoft.com/office/drawing/2012/chart" uri="{02D57815-91ED-43cb-92C2-25804820EDAC}">
                        <c15:formulaRef>
                          <c15:sqref>'Breakeven analyse'!$H$90</c15:sqref>
                        </c15:formulaRef>
                      </c:ext>
                    </c:extLst>
                    <c:strCache>
                      <c:ptCount val="1"/>
                      <c:pt idx="0">
                        <c:v>Fixed vehicle cost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analyse'!$H$91:$H$150</c15:sqref>
                        </c15:formulaRef>
                      </c:ext>
                    </c:extLst>
                    <c:numCache>
                      <c:formatCode>_("€"* #,##0_);_("€"* \(#,##0\);_("€"* "-"_);_(@_)</c:formatCode>
                      <c:ptCount val="60"/>
                      <c:pt idx="0">
                        <c:v>8600.4777991373412</c:v>
                      </c:pt>
                      <c:pt idx="1">
                        <c:v>14927.357407518604</c:v>
                      </c:pt>
                      <c:pt idx="2">
                        <c:v>24016.249497649605</c:v>
                      </c:pt>
                      <c:pt idx="3">
                        <c:v>8600.4777991373412</c:v>
                      </c:pt>
                      <c:pt idx="4">
                        <c:v>14927.357407518604</c:v>
                      </c:pt>
                      <c:pt idx="5">
                        <c:v>24016.249497649605</c:v>
                      </c:pt>
                      <c:pt idx="6">
                        <c:v>8600.4777991373412</c:v>
                      </c:pt>
                      <c:pt idx="7">
                        <c:v>14927.357407518604</c:v>
                      </c:pt>
                      <c:pt idx="8">
                        <c:v>24016.249497649605</c:v>
                      </c:pt>
                      <c:pt idx="9">
                        <c:v>8600.4777991373412</c:v>
                      </c:pt>
                      <c:pt idx="10">
                        <c:v>14927.357407518604</c:v>
                      </c:pt>
                      <c:pt idx="11">
                        <c:v>24016.249497649605</c:v>
                      </c:pt>
                      <c:pt idx="12">
                        <c:v>8600.4777991373412</c:v>
                      </c:pt>
                      <c:pt idx="13">
                        <c:v>14927.357407518604</c:v>
                      </c:pt>
                      <c:pt idx="14">
                        <c:v>24016.249497649605</c:v>
                      </c:pt>
                      <c:pt idx="15">
                        <c:v>8600.4777991373412</c:v>
                      </c:pt>
                      <c:pt idx="16">
                        <c:v>14927.357407518604</c:v>
                      </c:pt>
                      <c:pt idx="17">
                        <c:v>24016.249497649605</c:v>
                      </c:pt>
                      <c:pt idx="18">
                        <c:v>8600.4777991373412</c:v>
                      </c:pt>
                      <c:pt idx="19">
                        <c:v>14927.357407518604</c:v>
                      </c:pt>
                      <c:pt idx="20">
                        <c:v>24016.249497649605</c:v>
                      </c:pt>
                      <c:pt idx="21">
                        <c:v>8600.4777991373412</c:v>
                      </c:pt>
                      <c:pt idx="22">
                        <c:v>14927.357407518604</c:v>
                      </c:pt>
                      <c:pt idx="23">
                        <c:v>24016.249497649605</c:v>
                      </c:pt>
                      <c:pt idx="24">
                        <c:v>8600.4777991373412</c:v>
                      </c:pt>
                      <c:pt idx="25">
                        <c:v>14927.357407518604</c:v>
                      </c:pt>
                      <c:pt idx="26">
                        <c:v>24016.249497649605</c:v>
                      </c:pt>
                      <c:pt idx="27">
                        <c:v>8600.4777991373412</c:v>
                      </c:pt>
                      <c:pt idx="28">
                        <c:v>14927.357407518604</c:v>
                      </c:pt>
                      <c:pt idx="29">
                        <c:v>24016.249497649605</c:v>
                      </c:pt>
                      <c:pt idx="30">
                        <c:v>8600.4777991373412</c:v>
                      </c:pt>
                      <c:pt idx="31">
                        <c:v>14927.357407518604</c:v>
                      </c:pt>
                      <c:pt idx="32">
                        <c:v>24016.249497649605</c:v>
                      </c:pt>
                      <c:pt idx="33">
                        <c:v>8600.4777991373412</c:v>
                      </c:pt>
                      <c:pt idx="34">
                        <c:v>14927.357407518604</c:v>
                      </c:pt>
                      <c:pt idx="35">
                        <c:v>24016.249497649605</c:v>
                      </c:pt>
                      <c:pt idx="36">
                        <c:v>8600.4777991373412</c:v>
                      </c:pt>
                      <c:pt idx="37">
                        <c:v>14927.357407518604</c:v>
                      </c:pt>
                      <c:pt idx="38">
                        <c:v>24016.249497649605</c:v>
                      </c:pt>
                      <c:pt idx="39">
                        <c:v>8600.4777991373412</c:v>
                      </c:pt>
                      <c:pt idx="40">
                        <c:v>14927.357407518604</c:v>
                      </c:pt>
                      <c:pt idx="41">
                        <c:v>24016.249497649605</c:v>
                      </c:pt>
                      <c:pt idx="42">
                        <c:v>8600.4777991373412</c:v>
                      </c:pt>
                      <c:pt idx="43">
                        <c:v>14927.357407518604</c:v>
                      </c:pt>
                      <c:pt idx="44">
                        <c:v>24016.249497649605</c:v>
                      </c:pt>
                      <c:pt idx="45">
                        <c:v>8600.4777991373412</c:v>
                      </c:pt>
                      <c:pt idx="46">
                        <c:v>14927.357407518604</c:v>
                      </c:pt>
                      <c:pt idx="47">
                        <c:v>24016.249497649605</c:v>
                      </c:pt>
                      <c:pt idx="48">
                        <c:v>8600.4777991373412</c:v>
                      </c:pt>
                      <c:pt idx="49">
                        <c:v>14927.357407518604</c:v>
                      </c:pt>
                      <c:pt idx="50">
                        <c:v>24016.249497649605</c:v>
                      </c:pt>
                      <c:pt idx="51">
                        <c:v>8600.4777991373412</c:v>
                      </c:pt>
                      <c:pt idx="52">
                        <c:v>14927.357407518604</c:v>
                      </c:pt>
                      <c:pt idx="53">
                        <c:v>24016.249497649605</c:v>
                      </c:pt>
                      <c:pt idx="54">
                        <c:v>8600.4777991373412</c:v>
                      </c:pt>
                      <c:pt idx="55">
                        <c:v>14927.357407518604</c:v>
                      </c:pt>
                      <c:pt idx="56">
                        <c:v>24016.249497649605</c:v>
                      </c:pt>
                      <c:pt idx="57">
                        <c:v>8600.4777991373412</c:v>
                      </c:pt>
                      <c:pt idx="58">
                        <c:v>14927.357407518604</c:v>
                      </c:pt>
                      <c:pt idx="59">
                        <c:v>24016.249497649605</c:v>
                      </c:pt>
                    </c:numCache>
                  </c:numRef>
                </c:val>
                <c:extLst xmlns:c15="http://schemas.microsoft.com/office/drawing/2012/chart">
                  <c:ext xmlns:c16="http://schemas.microsoft.com/office/drawing/2014/chart" uri="{C3380CC4-5D6E-409C-BE32-E72D297353CC}">
                    <c16:uniqueId val="{00000005-6CD1-4F48-8EC4-4CB835AD6B07}"/>
                  </c:ext>
                </c:extLst>
              </c15:ser>
            </c15:filteredBarSeries>
            <c15:filteredBarSeries>
              <c15:ser>
                <c:idx val="2"/>
                <c:order val="3"/>
                <c:tx>
                  <c:strRef>
                    <c:extLst xmlns:c15="http://schemas.microsoft.com/office/drawing/2012/chart">
                      <c:ext xmlns:c15="http://schemas.microsoft.com/office/drawing/2012/chart" uri="{02D57815-91ED-43cb-92C2-25804820EDAC}">
                        <c15:formulaRef>
                          <c15:sqref>'Breakeven analyse'!$I$90</c15:sqref>
                        </c15:formulaRef>
                      </c:ext>
                    </c:extLst>
                    <c:strCache>
                      <c:ptCount val="1"/>
                      <c:pt idx="0">
                        <c:v>Energy</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analyse'!$I$91:$I$150</c15:sqref>
                        </c15:formulaRef>
                      </c:ext>
                    </c:extLst>
                    <c:numCache>
                      <c:formatCode>_("€"* #,##0_);_("€"* \(#,##0\);_("€"* "-"_);_(@_)</c:formatCode>
                      <c:ptCount val="60"/>
                      <c:pt idx="0">
                        <c:v>38740.473475698578</c:v>
                      </c:pt>
                      <c:pt idx="1">
                        <c:v>30569.168352037934</c:v>
                      </c:pt>
                      <c:pt idx="2">
                        <c:v>62182.551555815109</c:v>
                      </c:pt>
                      <c:pt idx="3">
                        <c:v>39124.075148944343</c:v>
                      </c:pt>
                      <c:pt idx="4">
                        <c:v>30874.860035558311</c:v>
                      </c:pt>
                      <c:pt idx="5">
                        <c:v>62804.377071373259</c:v>
                      </c:pt>
                      <c:pt idx="6">
                        <c:v>39511.512838922557</c:v>
                      </c:pt>
                      <c:pt idx="7">
                        <c:v>31183.608635913897</c:v>
                      </c:pt>
                      <c:pt idx="8">
                        <c:v>63432.420842086991</c:v>
                      </c:pt>
                      <c:pt idx="9">
                        <c:v>39902.824905800553</c:v>
                      </c:pt>
                      <c:pt idx="10">
                        <c:v>31495.44472227303</c:v>
                      </c:pt>
                      <c:pt idx="11">
                        <c:v>64066.745050507852</c:v>
                      </c:pt>
                      <c:pt idx="12">
                        <c:v>40298.050093347338</c:v>
                      </c:pt>
                      <c:pt idx="13">
                        <c:v>31810.399169495766</c:v>
                      </c:pt>
                      <c:pt idx="14">
                        <c:v>64707.412501012943</c:v>
                      </c:pt>
                      <c:pt idx="15">
                        <c:v>40697.22753276959</c:v>
                      </c:pt>
                      <c:pt idx="16">
                        <c:v>32128.503161190722</c:v>
                      </c:pt>
                      <c:pt idx="17">
                        <c:v>65354.48662602307</c:v>
                      </c:pt>
                      <c:pt idx="18">
                        <c:v>41100.396746586062</c:v>
                      </c:pt>
                      <c:pt idx="19">
                        <c:v>32449.788192802633</c:v>
                      </c:pt>
                      <c:pt idx="20">
                        <c:v>66008.031492283306</c:v>
                      </c:pt>
                      <c:pt idx="21">
                        <c:v>41507.597652540688</c:v>
                      </c:pt>
                      <c:pt idx="22">
                        <c:v>32774.286074730655</c:v>
                      </c:pt>
                      <c:pt idx="23">
                        <c:v>66668.111807206122</c:v>
                      </c:pt>
                      <c:pt idx="24">
                        <c:v>41918.870567554877</c:v>
                      </c:pt>
                      <c:pt idx="25">
                        <c:v>33102.028935477967</c:v>
                      </c:pt>
                      <c:pt idx="26">
                        <c:v>67334.792925278205</c:v>
                      </c:pt>
                      <c:pt idx="27">
                        <c:v>42334.256211719206</c:v>
                      </c:pt>
                      <c:pt idx="28">
                        <c:v>33433.04922483275</c:v>
                      </c:pt>
                      <c:pt idx="29">
                        <c:v>68008.140854530982</c:v>
                      </c:pt>
                      <c:pt idx="30">
                        <c:v>42753.795712325184</c:v>
                      </c:pt>
                      <c:pt idx="31">
                        <c:v>33767.379717081079</c:v>
                      </c:pt>
                      <c:pt idx="32">
                        <c:v>68688.222263076299</c:v>
                      </c:pt>
                      <c:pt idx="33">
                        <c:v>43177.530607937195</c:v>
                      </c:pt>
                      <c:pt idx="34">
                        <c:v>34105.053514251878</c:v>
                      </c:pt>
                      <c:pt idx="35">
                        <c:v>69375.104485707052</c:v>
                      </c:pt>
                      <c:pt idx="36">
                        <c:v>43605.502852505342</c:v>
                      </c:pt>
                      <c:pt idx="37">
                        <c:v>34446.104049394402</c:v>
                      </c:pt>
                      <c:pt idx="38">
                        <c:v>70068.85553056412</c:v>
                      </c:pt>
                      <c:pt idx="39">
                        <c:v>44037.754819519178</c:v>
                      </c:pt>
                      <c:pt idx="40">
                        <c:v>34790.565089888347</c:v>
                      </c:pt>
                      <c:pt idx="41">
                        <c:v>70769.544085869769</c:v>
                      </c:pt>
                      <c:pt idx="42">
                        <c:v>44474.329306203152</c:v>
                      </c:pt>
                      <c:pt idx="43">
                        <c:v>35138.470740787234</c:v>
                      </c:pt>
                      <c:pt idx="44">
                        <c:v>71477.239526728474</c:v>
                      </c:pt>
                      <c:pt idx="45">
                        <c:v>44915.269537753942</c:v>
                      </c:pt>
                      <c:pt idx="46">
                        <c:v>35489.8554481951</c:v>
                      </c:pt>
                      <c:pt idx="47">
                        <c:v>72192.011921995741</c:v>
                      </c:pt>
                      <c:pt idx="48">
                        <c:v>45360.619171620274</c:v>
                      </c:pt>
                      <c:pt idx="49">
                        <c:v>35844.754002677058</c:v>
                      </c:pt>
                      <c:pt idx="50">
                        <c:v>72913.932041215725</c:v>
                      </c:pt>
                      <c:pt idx="51">
                        <c:v>45810.422301825252</c:v>
                      </c:pt>
                      <c:pt idx="52">
                        <c:v>36203.201542703828</c:v>
                      </c:pt>
                      <c:pt idx="53">
                        <c:v>73643.071361627881</c:v>
                      </c:pt>
                      <c:pt idx="54">
                        <c:v>46264.723463332281</c:v>
                      </c:pt>
                      <c:pt idx="55">
                        <c:v>36565.233558130873</c:v>
                      </c:pt>
                      <c:pt idx="56">
                        <c:v>74379.502075244163</c:v>
                      </c:pt>
                      <c:pt idx="57">
                        <c:v>46723.567636454369</c:v>
                      </c:pt>
                      <c:pt idx="58">
                        <c:v>36930.885893712169</c:v>
                      </c:pt>
                      <c:pt idx="59">
                        <c:v>75123.297095996575</c:v>
                      </c:pt>
                    </c:numCache>
                  </c:numRef>
                </c:val>
                <c:extLst xmlns:c15="http://schemas.microsoft.com/office/drawing/2012/chart">
                  <c:ext xmlns:c16="http://schemas.microsoft.com/office/drawing/2014/chart" uri="{C3380CC4-5D6E-409C-BE32-E72D297353CC}">
                    <c16:uniqueId val="{00000006-6CD1-4F48-8EC4-4CB835AD6B07}"/>
                  </c:ext>
                </c:extLst>
              </c15:ser>
            </c15:filteredBarSeries>
            <c15:filteredBarSeries>
              <c15:ser>
                <c:idx val="3"/>
                <c:order val="4"/>
                <c:tx>
                  <c:strRef>
                    <c:extLst xmlns:c15="http://schemas.microsoft.com/office/drawing/2012/chart">
                      <c:ext xmlns:c15="http://schemas.microsoft.com/office/drawing/2012/chart" uri="{02D57815-91ED-43cb-92C2-25804820EDAC}">
                        <c15:formulaRef>
                          <c15:sqref>'Breakeven analyse'!$J$90</c15:sqref>
                        </c15:formulaRef>
                      </c:ext>
                    </c:extLst>
                    <c:strCache>
                      <c:ptCount val="1"/>
                      <c:pt idx="0">
                        <c:v>Maintenance</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analyse'!$J$91:$J$150</c15:sqref>
                        </c15:formulaRef>
                      </c:ext>
                    </c:extLst>
                    <c:numCache>
                      <c:formatCode>_("€"* #,##0_);_("€"* \(#,##0\);_("€"* "-"_);_(@_)</c:formatCode>
                      <c:ptCount val="60"/>
                      <c:pt idx="0">
                        <c:v>6967.5498399999997</c:v>
                      </c:pt>
                      <c:pt idx="1">
                        <c:v>4768.3668400000006</c:v>
                      </c:pt>
                      <c:pt idx="2">
                        <c:v>11166.732839999999</c:v>
                      </c:pt>
                      <c:pt idx="3">
                        <c:v>6967.5498399999997</c:v>
                      </c:pt>
                      <c:pt idx="4">
                        <c:v>4768.3668400000006</c:v>
                      </c:pt>
                      <c:pt idx="5">
                        <c:v>11166.732839999999</c:v>
                      </c:pt>
                      <c:pt idx="6">
                        <c:v>6967.5498399999997</c:v>
                      </c:pt>
                      <c:pt idx="7">
                        <c:v>4768.3668400000006</c:v>
                      </c:pt>
                      <c:pt idx="8">
                        <c:v>11166.732839999999</c:v>
                      </c:pt>
                      <c:pt idx="9">
                        <c:v>6967.5498399999997</c:v>
                      </c:pt>
                      <c:pt idx="10">
                        <c:v>4768.3668400000006</c:v>
                      </c:pt>
                      <c:pt idx="11">
                        <c:v>11166.732839999999</c:v>
                      </c:pt>
                      <c:pt idx="12">
                        <c:v>6967.5498399999997</c:v>
                      </c:pt>
                      <c:pt idx="13">
                        <c:v>4768.3668400000006</c:v>
                      </c:pt>
                      <c:pt idx="14">
                        <c:v>11166.732839999999</c:v>
                      </c:pt>
                      <c:pt idx="15">
                        <c:v>6967.5498399999997</c:v>
                      </c:pt>
                      <c:pt idx="16">
                        <c:v>4768.3668400000006</c:v>
                      </c:pt>
                      <c:pt idx="17">
                        <c:v>11166.732839999999</c:v>
                      </c:pt>
                      <c:pt idx="18">
                        <c:v>6967.5498399999997</c:v>
                      </c:pt>
                      <c:pt idx="19">
                        <c:v>4768.3668400000006</c:v>
                      </c:pt>
                      <c:pt idx="20">
                        <c:v>11166.732839999999</c:v>
                      </c:pt>
                      <c:pt idx="21">
                        <c:v>6967.5498399999997</c:v>
                      </c:pt>
                      <c:pt idx="22">
                        <c:v>4768.3668400000006</c:v>
                      </c:pt>
                      <c:pt idx="23">
                        <c:v>11166.732839999999</c:v>
                      </c:pt>
                      <c:pt idx="24">
                        <c:v>6967.5498399999997</c:v>
                      </c:pt>
                      <c:pt idx="25">
                        <c:v>4768.3668400000006</c:v>
                      </c:pt>
                      <c:pt idx="26">
                        <c:v>11166.732839999999</c:v>
                      </c:pt>
                      <c:pt idx="27">
                        <c:v>6967.5498399999997</c:v>
                      </c:pt>
                      <c:pt idx="28">
                        <c:v>4768.3668400000006</c:v>
                      </c:pt>
                      <c:pt idx="29">
                        <c:v>11166.732839999999</c:v>
                      </c:pt>
                      <c:pt idx="30">
                        <c:v>6967.5498399999997</c:v>
                      </c:pt>
                      <c:pt idx="31">
                        <c:v>4768.3668400000006</c:v>
                      </c:pt>
                      <c:pt idx="32">
                        <c:v>11166.732839999999</c:v>
                      </c:pt>
                      <c:pt idx="33">
                        <c:v>6967.5498399999997</c:v>
                      </c:pt>
                      <c:pt idx="34">
                        <c:v>4768.3668400000006</c:v>
                      </c:pt>
                      <c:pt idx="35">
                        <c:v>11166.732839999999</c:v>
                      </c:pt>
                      <c:pt idx="36">
                        <c:v>6967.5498399999997</c:v>
                      </c:pt>
                      <c:pt idx="37">
                        <c:v>4768.3668400000006</c:v>
                      </c:pt>
                      <c:pt idx="38">
                        <c:v>11166.732839999999</c:v>
                      </c:pt>
                      <c:pt idx="39">
                        <c:v>6967.5498399999997</c:v>
                      </c:pt>
                      <c:pt idx="40">
                        <c:v>4768.3668400000006</c:v>
                      </c:pt>
                      <c:pt idx="41">
                        <c:v>11166.732839999999</c:v>
                      </c:pt>
                      <c:pt idx="42">
                        <c:v>6967.5498399999997</c:v>
                      </c:pt>
                      <c:pt idx="43">
                        <c:v>4768.3668400000006</c:v>
                      </c:pt>
                      <c:pt idx="44">
                        <c:v>11166.732839999999</c:v>
                      </c:pt>
                      <c:pt idx="45">
                        <c:v>6967.5498399999997</c:v>
                      </c:pt>
                      <c:pt idx="46">
                        <c:v>4768.3668400000006</c:v>
                      </c:pt>
                      <c:pt idx="47">
                        <c:v>11166.732839999999</c:v>
                      </c:pt>
                      <c:pt idx="48">
                        <c:v>6967.5498399999997</c:v>
                      </c:pt>
                      <c:pt idx="49">
                        <c:v>4768.3668400000006</c:v>
                      </c:pt>
                      <c:pt idx="50">
                        <c:v>11166.732839999999</c:v>
                      </c:pt>
                      <c:pt idx="51">
                        <c:v>6967.5498399999997</c:v>
                      </c:pt>
                      <c:pt idx="52">
                        <c:v>4768.3668400000006</c:v>
                      </c:pt>
                      <c:pt idx="53">
                        <c:v>11166.732839999999</c:v>
                      </c:pt>
                      <c:pt idx="54">
                        <c:v>6967.5498399999997</c:v>
                      </c:pt>
                      <c:pt idx="55">
                        <c:v>4768.3668400000006</c:v>
                      </c:pt>
                      <c:pt idx="56">
                        <c:v>11166.732839999999</c:v>
                      </c:pt>
                      <c:pt idx="57">
                        <c:v>6967.5498399999997</c:v>
                      </c:pt>
                      <c:pt idx="58">
                        <c:v>4768.3668400000006</c:v>
                      </c:pt>
                      <c:pt idx="59">
                        <c:v>11166.732839999999</c:v>
                      </c:pt>
                    </c:numCache>
                  </c:numRef>
                </c:val>
                <c:extLst xmlns:c15="http://schemas.microsoft.com/office/drawing/2012/chart">
                  <c:ext xmlns:c16="http://schemas.microsoft.com/office/drawing/2014/chart" uri="{C3380CC4-5D6E-409C-BE32-E72D297353CC}">
                    <c16:uniqueId val="{00000007-6CD1-4F48-8EC4-4CB835AD6B07}"/>
                  </c:ext>
                </c:extLst>
              </c15:ser>
            </c15:filteredBarSeries>
            <c15:filteredBarSeries>
              <c15:ser>
                <c:idx val="4"/>
                <c:order val="5"/>
                <c:tx>
                  <c:strRef>
                    <c:extLst xmlns:c15="http://schemas.microsoft.com/office/drawing/2012/chart">
                      <c:ext xmlns:c15="http://schemas.microsoft.com/office/drawing/2012/chart" uri="{02D57815-91ED-43cb-92C2-25804820EDAC}">
                        <c15:formulaRef>
                          <c15:sqref>'Breakeven analyse'!$K$90</c15:sqref>
                        </c15:formulaRef>
                      </c:ext>
                    </c:extLst>
                    <c:strCache>
                      <c:ptCount val="1"/>
                      <c:pt idx="0">
                        <c:v>Tolheffing</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analyse'!$K$91:$K$150</c15:sqref>
                        </c15:formulaRef>
                      </c:ext>
                    </c:extLst>
                    <c:numCache>
                      <c:formatCode>_("€"* #,##0_);_("€"* \(#,##0\);_("€"*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8-6CD1-4F48-8EC4-4CB835AD6B07}"/>
                  </c:ext>
                </c:extLst>
              </c15:ser>
            </c15:filteredBarSeries>
            <c15:filteredBarSeries>
              <c15:ser>
                <c:idx val="5"/>
                <c:order val="6"/>
                <c:tx>
                  <c:strRef>
                    <c:extLst xmlns:c15="http://schemas.microsoft.com/office/drawing/2012/chart">
                      <c:ext xmlns:c15="http://schemas.microsoft.com/office/drawing/2012/chart" uri="{02D57815-91ED-43cb-92C2-25804820EDAC}">
                        <c15:formulaRef>
                          <c15:sqref>'Breakeven analyse'!$L$90</c15:sqref>
                        </c15:formulaRef>
                      </c:ext>
                    </c:extLst>
                    <c:strCache>
                      <c:ptCount val="1"/>
                      <c:pt idx="0">
                        <c:v>CO2 prijs</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analyse'!$L$91:$L$150</c15:sqref>
                        </c15:formulaRef>
                      </c:ext>
                    </c:extLst>
                    <c:numCache>
                      <c:formatCode>_("€"* #,##0_);_("€"* \(#,##0\);_("€"*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9-6CD1-4F48-8EC4-4CB835AD6B07}"/>
                  </c:ext>
                </c:extLst>
              </c15:ser>
            </c15:filteredBarSeries>
            <c15:filteredBarSeries>
              <c15:ser>
                <c:idx val="6"/>
                <c:order val="7"/>
                <c:tx>
                  <c:strRef>
                    <c:extLst xmlns:c15="http://schemas.microsoft.com/office/drawing/2012/chart">
                      <c:ext xmlns:c15="http://schemas.microsoft.com/office/drawing/2012/chart" uri="{02D57815-91ED-43cb-92C2-25804820EDAC}">
                        <c15:formulaRef>
                          <c15:sqref>'Breakeven analyse'!$M$90</c15:sqref>
                        </c15:formulaRef>
                      </c:ext>
                    </c:extLst>
                    <c:strCache>
                      <c:ptCount val="1"/>
                      <c:pt idx="0">
                        <c:v>HBE</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analyse'!$M$91:$M$150</c15:sqref>
                        </c15:formulaRef>
                      </c:ext>
                    </c:extLst>
                    <c:numCache>
                      <c:formatCode>_("€"* #,##0_);_("€"* \(#,##0\);_("€"*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A-6CD1-4F48-8EC4-4CB835AD6B07}"/>
                  </c:ext>
                </c:extLst>
              </c15:ser>
            </c15:filteredBarSeries>
            <c15:filteredBarSeries>
              <c15:ser>
                <c:idx val="7"/>
                <c:order val="8"/>
                <c:tx>
                  <c:strRef>
                    <c:extLst xmlns:c15="http://schemas.microsoft.com/office/drawing/2012/chart">
                      <c:ext xmlns:c15="http://schemas.microsoft.com/office/drawing/2012/chart" uri="{02D57815-91ED-43cb-92C2-25804820EDAC}">
                        <c15:formulaRef>
                          <c15:sqref>'Breakeven analyse'!$N$90</c15:sqref>
                        </c15:formulaRef>
                      </c:ext>
                    </c:extLst>
                    <c:strCache>
                      <c:ptCount val="1"/>
                      <c:pt idx="0">
                        <c:v>Specific transport cost</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analyse'!$N$91:$N$150</c15:sqref>
                        </c15:formulaRef>
                      </c:ext>
                    </c:extLst>
                    <c:numCache>
                      <c:formatCode>_("€"* #,##0_);_("€"* \(#,##0\);_("€"* "-"_);_(@_)</c:formatCode>
                      <c:ptCount val="60"/>
                      <c:pt idx="0">
                        <c:v>399.10124999999999</c:v>
                      </c:pt>
                      <c:pt idx="1">
                        <c:v>399.10124999999999</c:v>
                      </c:pt>
                      <c:pt idx="2">
                        <c:v>399.10124999999999</c:v>
                      </c:pt>
                      <c:pt idx="3">
                        <c:v>399.10124999999999</c:v>
                      </c:pt>
                      <c:pt idx="4">
                        <c:v>399.10124999999999</c:v>
                      </c:pt>
                      <c:pt idx="5">
                        <c:v>399.10124999999999</c:v>
                      </c:pt>
                      <c:pt idx="6">
                        <c:v>399.10124999999999</c:v>
                      </c:pt>
                      <c:pt idx="7">
                        <c:v>399.10124999999999</c:v>
                      </c:pt>
                      <c:pt idx="8">
                        <c:v>399.10124999999999</c:v>
                      </c:pt>
                      <c:pt idx="9">
                        <c:v>399.10124999999999</c:v>
                      </c:pt>
                      <c:pt idx="10">
                        <c:v>399.10124999999999</c:v>
                      </c:pt>
                      <c:pt idx="11">
                        <c:v>399.10124999999999</c:v>
                      </c:pt>
                      <c:pt idx="12">
                        <c:v>399.10124999999999</c:v>
                      </c:pt>
                      <c:pt idx="13">
                        <c:v>399.10124999999999</c:v>
                      </c:pt>
                      <c:pt idx="14">
                        <c:v>399.10124999999999</c:v>
                      </c:pt>
                      <c:pt idx="15">
                        <c:v>399.10124999999999</c:v>
                      </c:pt>
                      <c:pt idx="16">
                        <c:v>399.10124999999999</c:v>
                      </c:pt>
                      <c:pt idx="17">
                        <c:v>399.10124999999999</c:v>
                      </c:pt>
                      <c:pt idx="18">
                        <c:v>399.10124999999999</c:v>
                      </c:pt>
                      <c:pt idx="19">
                        <c:v>399.10124999999999</c:v>
                      </c:pt>
                      <c:pt idx="20">
                        <c:v>399.10124999999999</c:v>
                      </c:pt>
                      <c:pt idx="21">
                        <c:v>399.10124999999999</c:v>
                      </c:pt>
                      <c:pt idx="22">
                        <c:v>399.10124999999999</c:v>
                      </c:pt>
                      <c:pt idx="23">
                        <c:v>399.10124999999999</c:v>
                      </c:pt>
                      <c:pt idx="24">
                        <c:v>399.10124999999999</c:v>
                      </c:pt>
                      <c:pt idx="25">
                        <c:v>399.10124999999999</c:v>
                      </c:pt>
                      <c:pt idx="26">
                        <c:v>399.10124999999999</c:v>
                      </c:pt>
                      <c:pt idx="27">
                        <c:v>399.10124999999999</c:v>
                      </c:pt>
                      <c:pt idx="28">
                        <c:v>399.10124999999999</c:v>
                      </c:pt>
                      <c:pt idx="29">
                        <c:v>399.10124999999999</c:v>
                      </c:pt>
                      <c:pt idx="30">
                        <c:v>399.10124999999999</c:v>
                      </c:pt>
                      <c:pt idx="31">
                        <c:v>399.10124999999999</c:v>
                      </c:pt>
                      <c:pt idx="32">
                        <c:v>399.10124999999999</c:v>
                      </c:pt>
                      <c:pt idx="33">
                        <c:v>399.10124999999999</c:v>
                      </c:pt>
                      <c:pt idx="34">
                        <c:v>399.10124999999999</c:v>
                      </c:pt>
                      <c:pt idx="35">
                        <c:v>399.10124999999999</c:v>
                      </c:pt>
                      <c:pt idx="36">
                        <c:v>399.10124999999999</c:v>
                      </c:pt>
                      <c:pt idx="37">
                        <c:v>399.10124999999999</c:v>
                      </c:pt>
                      <c:pt idx="38">
                        <c:v>399.10124999999999</c:v>
                      </c:pt>
                      <c:pt idx="39">
                        <c:v>399.10124999999999</c:v>
                      </c:pt>
                      <c:pt idx="40">
                        <c:v>399.10124999999999</c:v>
                      </c:pt>
                      <c:pt idx="41">
                        <c:v>399.10124999999999</c:v>
                      </c:pt>
                      <c:pt idx="42">
                        <c:v>399.10124999999999</c:v>
                      </c:pt>
                      <c:pt idx="43">
                        <c:v>399.10124999999999</c:v>
                      </c:pt>
                      <c:pt idx="44">
                        <c:v>399.10124999999999</c:v>
                      </c:pt>
                      <c:pt idx="45">
                        <c:v>399.10124999999999</c:v>
                      </c:pt>
                      <c:pt idx="46">
                        <c:v>399.10124999999999</c:v>
                      </c:pt>
                      <c:pt idx="47">
                        <c:v>399.10124999999999</c:v>
                      </c:pt>
                      <c:pt idx="48">
                        <c:v>399.10124999999999</c:v>
                      </c:pt>
                      <c:pt idx="49">
                        <c:v>399.10124999999999</c:v>
                      </c:pt>
                      <c:pt idx="50">
                        <c:v>399.10124999999999</c:v>
                      </c:pt>
                      <c:pt idx="51">
                        <c:v>399.10124999999999</c:v>
                      </c:pt>
                      <c:pt idx="52">
                        <c:v>399.10124999999999</c:v>
                      </c:pt>
                      <c:pt idx="53">
                        <c:v>399.10124999999999</c:v>
                      </c:pt>
                      <c:pt idx="54">
                        <c:v>399.10124999999999</c:v>
                      </c:pt>
                      <c:pt idx="55">
                        <c:v>399.10124999999999</c:v>
                      </c:pt>
                      <c:pt idx="56">
                        <c:v>399.10124999999999</c:v>
                      </c:pt>
                      <c:pt idx="57">
                        <c:v>399.10124999999999</c:v>
                      </c:pt>
                      <c:pt idx="58">
                        <c:v>399.10124999999999</c:v>
                      </c:pt>
                      <c:pt idx="59">
                        <c:v>399.10124999999999</c:v>
                      </c:pt>
                    </c:numCache>
                  </c:numRef>
                </c:val>
                <c:extLst xmlns:c15="http://schemas.microsoft.com/office/drawing/2012/chart">
                  <c:ext xmlns:c16="http://schemas.microsoft.com/office/drawing/2014/chart" uri="{C3380CC4-5D6E-409C-BE32-E72D297353CC}">
                    <c16:uniqueId val="{0000000B-6CD1-4F48-8EC4-4CB835AD6B07}"/>
                  </c:ext>
                </c:extLst>
              </c15:ser>
            </c15:filteredBarSeries>
            <c15:filteredBarSeries>
              <c15:ser>
                <c:idx val="8"/>
                <c:order val="9"/>
                <c:tx>
                  <c:strRef>
                    <c:extLst xmlns:c15="http://schemas.microsoft.com/office/drawing/2012/chart">
                      <c:ext xmlns:c15="http://schemas.microsoft.com/office/drawing/2012/chart" uri="{02D57815-91ED-43cb-92C2-25804820EDAC}">
                        <c15:formulaRef>
                          <c15:sqref>'Breakeven analyse'!$O$90</c15:sqref>
                        </c15:formulaRef>
                      </c:ext>
                    </c:extLst>
                    <c:strCache>
                      <c:ptCount val="1"/>
                      <c:pt idx="0">
                        <c:v>Charging infra investment</c:v>
                      </c:pt>
                    </c:strCache>
                  </c:strRef>
                </c:tx>
                <c:spPr>
                  <a:gradFill rotWithShape="1">
                    <a:gsLst>
                      <a:gs pos="0">
                        <a:schemeClr val="accent3">
                          <a:lumMod val="60000"/>
                          <a:lumMod val="110000"/>
                          <a:satMod val="105000"/>
                          <a:tint val="67000"/>
                        </a:schemeClr>
                      </a:gs>
                      <a:gs pos="50000">
                        <a:schemeClr val="accent3">
                          <a:lumMod val="60000"/>
                          <a:lumMod val="105000"/>
                          <a:satMod val="103000"/>
                          <a:tint val="73000"/>
                        </a:schemeClr>
                      </a:gs>
                      <a:gs pos="100000">
                        <a:schemeClr val="accent3">
                          <a:lumMod val="60000"/>
                          <a:lumMod val="105000"/>
                          <a:satMod val="109000"/>
                          <a:tint val="81000"/>
                        </a:schemeClr>
                      </a:gs>
                    </a:gsLst>
                    <a:lin ang="5400000" scaled="0"/>
                  </a:gradFill>
                  <a:ln w="9525" cap="flat" cmpd="sng" algn="ctr">
                    <a:solidFill>
                      <a:schemeClr val="accent3">
                        <a:lumMod val="60000"/>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analyse'!$O$91:$O$150</c15:sqref>
                        </c15:formulaRef>
                      </c:ext>
                    </c:extLst>
                    <c:numCache>
                      <c:formatCode>_("€"* #,##0_);_("€"* \(#,##0\);_("€"* "-"_);_(@_)</c:formatCode>
                      <c:ptCount val="60"/>
                      <c:pt idx="0">
                        <c:v>0</c:v>
                      </c:pt>
                      <c:pt idx="1">
                        <c:v>29215.5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C-6CD1-4F48-8EC4-4CB835AD6B07}"/>
                  </c:ext>
                </c:extLst>
              </c15:ser>
            </c15:filteredBarSeries>
          </c:ext>
        </c:extLst>
      </c:barChart>
      <c:lineChart>
        <c:grouping val="standard"/>
        <c:varyColors val="0"/>
        <c:ser>
          <c:idx val="10"/>
          <c:order val="11"/>
          <c:tx>
            <c:strRef>
              <c:f>'Breakeven analyse'!$Q$90</c:f>
              <c:strCache>
                <c:ptCount val="1"/>
                <c:pt idx="0">
                  <c:v>Diesel</c:v>
                </c:pt>
              </c:strCache>
            </c:strRef>
          </c:tx>
          <c:spPr>
            <a:ln w="38100" cap="rnd">
              <a:solidFill>
                <a:srgbClr val="FF0000"/>
              </a:solidFill>
              <a:round/>
            </a:ln>
            <a:effectLst>
              <a:outerShdw blurRad="50800" dist="38100" dir="5400000" algn="t" rotWithShape="0">
                <a:prstClr val="black">
                  <a:alpha val="40000"/>
                </a:prstClr>
              </a:outerShdw>
            </a:effectLst>
          </c:spPr>
          <c:marker>
            <c:symbol val="none"/>
          </c:marker>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analyse'!$Q$91:$Q$150</c:f>
              <c:numCache>
                <c:formatCode>_("€"* #,##0_);_("€"* \(#,##0\);_("€"* "-"_);_(@_)</c:formatCode>
                <c:ptCount val="60"/>
                <c:pt idx="0">
                  <c:v>85964.528397173388</c:v>
                </c:pt>
                <c:pt idx="1">
                  <c:v>85964.528397173388</c:v>
                </c:pt>
                <c:pt idx="2">
                  <c:v>85964.528397173388</c:v>
                </c:pt>
                <c:pt idx="3">
                  <c:v>80871.084252068511</c:v>
                </c:pt>
                <c:pt idx="4">
                  <c:v>80871.084252068511</c:v>
                </c:pt>
                <c:pt idx="5">
                  <c:v>80871.084252068511</c:v>
                </c:pt>
                <c:pt idx="6">
                  <c:v>76381.056149483309</c:v>
                </c:pt>
                <c:pt idx="7">
                  <c:v>76381.056149483309</c:v>
                </c:pt>
                <c:pt idx="8">
                  <c:v>76381.056149483309</c:v>
                </c:pt>
                <c:pt idx="9">
                  <c:v>72817.702388737904</c:v>
                </c:pt>
                <c:pt idx="10">
                  <c:v>72817.702388737904</c:v>
                </c:pt>
                <c:pt idx="11">
                  <c:v>72817.702388737904</c:v>
                </c:pt>
                <c:pt idx="12">
                  <c:v>70006.47109390056</c:v>
                </c:pt>
                <c:pt idx="13">
                  <c:v>70006.47109390056</c:v>
                </c:pt>
                <c:pt idx="14">
                  <c:v>70006.47109390056</c:v>
                </c:pt>
                <c:pt idx="15">
                  <c:v>67805.842728845484</c:v>
                </c:pt>
                <c:pt idx="16">
                  <c:v>67805.842728845484</c:v>
                </c:pt>
                <c:pt idx="17">
                  <c:v>67805.842728845484</c:v>
                </c:pt>
                <c:pt idx="18">
                  <c:v>66101.080567910132</c:v>
                </c:pt>
                <c:pt idx="19">
                  <c:v>66101.080567910132</c:v>
                </c:pt>
                <c:pt idx="20">
                  <c:v>66101.080567910132</c:v>
                </c:pt>
                <c:pt idx="21">
                  <c:v>89640.787541715079</c:v>
                </c:pt>
                <c:pt idx="22">
                  <c:v>89640.787541715079</c:v>
                </c:pt>
                <c:pt idx="23">
                  <c:v>89640.787541715079</c:v>
                </c:pt>
                <c:pt idx="24">
                  <c:v>84415.709981612192</c:v>
                </c:pt>
                <c:pt idx="25">
                  <c:v>84415.709981612192</c:v>
                </c:pt>
                <c:pt idx="26">
                  <c:v>84415.709981612192</c:v>
                </c:pt>
                <c:pt idx="27">
                  <c:v>79811.764484675921</c:v>
                </c:pt>
                <c:pt idx="28">
                  <c:v>79811.764484675921</c:v>
                </c:pt>
                <c:pt idx="29">
                  <c:v>79811.764484675921</c:v>
                </c:pt>
                <c:pt idx="30">
                  <c:v>76161.613251314906</c:v>
                </c:pt>
                <c:pt idx="31">
                  <c:v>76161.613251314906</c:v>
                </c:pt>
                <c:pt idx="32">
                  <c:v>76161.613251314906</c:v>
                </c:pt>
                <c:pt idx="33">
                  <c:v>73285.629079875071</c:v>
                </c:pt>
                <c:pt idx="34">
                  <c:v>73285.629079875071</c:v>
                </c:pt>
                <c:pt idx="35">
                  <c:v>73285.629079875071</c:v>
                </c:pt>
                <c:pt idx="36">
                  <c:v>71038.177899614064</c:v>
                </c:pt>
                <c:pt idx="37">
                  <c:v>71038.177899614064</c:v>
                </c:pt>
                <c:pt idx="38">
                  <c:v>71038.177899614064</c:v>
                </c:pt>
                <c:pt idx="39">
                  <c:v>69301.187468510732</c:v>
                </c:pt>
                <c:pt idx="40">
                  <c:v>69301.187468510732</c:v>
                </c:pt>
                <c:pt idx="41">
                  <c:v>69301.187468510732</c:v>
                </c:pt>
                <c:pt idx="42">
                  <c:v>93516.654163077095</c:v>
                </c:pt>
                <c:pt idx="43">
                  <c:v>93516.654163077095</c:v>
                </c:pt>
                <c:pt idx="44">
                  <c:v>93516.654163077095</c:v>
                </c:pt>
                <c:pt idx="45">
                  <c:v>88161.939262744389</c:v>
                </c:pt>
                <c:pt idx="46">
                  <c:v>88161.939262744389</c:v>
                </c:pt>
                <c:pt idx="47">
                  <c:v>88161.939262744389</c:v>
                </c:pt>
                <c:pt idx="48">
                  <c:v>83446.092406972952</c:v>
                </c:pt>
                <c:pt idx="49">
                  <c:v>83446.092406972952</c:v>
                </c:pt>
                <c:pt idx="50">
                  <c:v>83446.092406972952</c:v>
                </c:pt>
                <c:pt idx="51">
                  <c:v>79711.17989686731</c:v>
                </c:pt>
                <c:pt idx="52">
                  <c:v>79711.17989686731</c:v>
                </c:pt>
                <c:pt idx="53">
                  <c:v>79711.17989686731</c:v>
                </c:pt>
                <c:pt idx="54">
                  <c:v>76772.499406654824</c:v>
                </c:pt>
                <c:pt idx="55">
                  <c:v>76772.499406654824</c:v>
                </c:pt>
                <c:pt idx="56">
                  <c:v>76772.499406654824</c:v>
                </c:pt>
                <c:pt idx="57">
                  <c:v>74480.302534595918</c:v>
                </c:pt>
                <c:pt idx="58">
                  <c:v>74480.302534595918</c:v>
                </c:pt>
                <c:pt idx="59">
                  <c:v>74480.302534595918</c:v>
                </c:pt>
              </c:numCache>
            </c:numRef>
          </c:val>
          <c:smooth val="0"/>
          <c:extLst>
            <c:ext xmlns:c16="http://schemas.microsoft.com/office/drawing/2014/chart" uri="{C3380CC4-5D6E-409C-BE32-E72D297353CC}">
              <c16:uniqueId val="{00000000-6CD1-4F48-8EC4-4CB835AD6B07}"/>
            </c:ext>
          </c:extLst>
        </c:ser>
        <c:ser>
          <c:idx val="12"/>
          <c:order val="12"/>
          <c:tx>
            <c:strRef>
              <c:f>'Breakeven analyse'!$R$90</c:f>
              <c:strCache>
                <c:ptCount val="1"/>
                <c:pt idx="0">
                  <c:v>Electric</c:v>
                </c:pt>
              </c:strCache>
            </c:strRef>
          </c:tx>
          <c:spPr>
            <a:ln w="38100" cap="rnd">
              <a:solidFill>
                <a:srgbClr val="0070C0"/>
              </a:solidFill>
              <a:round/>
            </a:ln>
            <a:effectLst>
              <a:outerShdw blurRad="50800" dist="38100" dir="5400000" algn="t" rotWithShape="0">
                <a:prstClr val="black">
                  <a:alpha val="40000"/>
                </a:prstClr>
              </a:outerShdw>
            </a:effectLst>
          </c:spPr>
          <c:marker>
            <c:symbol val="none"/>
          </c:marker>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analyse'!$R$91:$R$150</c:f>
              <c:numCache>
                <c:formatCode>_("€"* #,##0_);_("€"* \(#,##0\);_("€"* "-"_);_(@_)</c:formatCode>
                <c:ptCount val="60"/>
                <c:pt idx="0">
                  <c:v>130476.23071504872</c:v>
                </c:pt>
                <c:pt idx="1">
                  <c:v>130476.23071504872</c:v>
                </c:pt>
                <c:pt idx="2">
                  <c:v>130476.23071504872</c:v>
                </c:pt>
                <c:pt idx="3">
                  <c:v>93455.72846888451</c:v>
                </c:pt>
                <c:pt idx="4">
                  <c:v>93455.72846888451</c:v>
                </c:pt>
                <c:pt idx="5">
                  <c:v>93455.72846888451</c:v>
                </c:pt>
                <c:pt idx="6">
                  <c:v>86549.600672956818</c:v>
                </c:pt>
                <c:pt idx="7">
                  <c:v>86549.600672956818</c:v>
                </c:pt>
                <c:pt idx="8">
                  <c:v>86549.600672956818</c:v>
                </c:pt>
                <c:pt idx="9">
                  <c:v>81024.763895195749</c:v>
                </c:pt>
                <c:pt idx="10">
                  <c:v>81024.763895195749</c:v>
                </c:pt>
                <c:pt idx="11">
                  <c:v>81024.763895195749</c:v>
                </c:pt>
                <c:pt idx="12">
                  <c:v>76620.708357007039</c:v>
                </c:pt>
                <c:pt idx="13">
                  <c:v>76620.708357007039</c:v>
                </c:pt>
                <c:pt idx="14">
                  <c:v>76620.708357007039</c:v>
                </c:pt>
                <c:pt idx="15">
                  <c:v>73126.221367823484</c:v>
                </c:pt>
                <c:pt idx="16">
                  <c:v>73126.221367823484</c:v>
                </c:pt>
                <c:pt idx="17">
                  <c:v>73126.221367823484</c:v>
                </c:pt>
                <c:pt idx="18">
                  <c:v>70370.060598914686</c:v>
                </c:pt>
                <c:pt idx="19">
                  <c:v>70370.060598914686</c:v>
                </c:pt>
                <c:pt idx="20">
                  <c:v>70370.060598914686</c:v>
                </c:pt>
                <c:pt idx="21">
                  <c:v>103696.44759964089</c:v>
                </c:pt>
                <c:pt idx="22">
                  <c:v>103696.44759964089</c:v>
                </c:pt>
                <c:pt idx="23">
                  <c:v>103696.44759964089</c:v>
                </c:pt>
                <c:pt idx="24">
                  <c:v>95961.841994202929</c:v>
                </c:pt>
                <c:pt idx="25">
                  <c:v>95961.841994202929</c:v>
                </c:pt>
                <c:pt idx="26">
                  <c:v>95961.841994202929</c:v>
                </c:pt>
                <c:pt idx="27">
                  <c:v>89121.970649618248</c:v>
                </c:pt>
                <c:pt idx="28">
                  <c:v>89121.970649618248</c:v>
                </c:pt>
                <c:pt idx="29">
                  <c:v>89121.970649618248</c:v>
                </c:pt>
                <c:pt idx="30">
                  <c:v>83656.83943463079</c:v>
                </c:pt>
                <c:pt idx="31">
                  <c:v>83656.83943463079</c:v>
                </c:pt>
                <c:pt idx="32">
                  <c:v>83656.83943463079</c:v>
                </c:pt>
                <c:pt idx="33">
                  <c:v>79307.247111561519</c:v>
                </c:pt>
                <c:pt idx="34">
                  <c:v>79307.247111561519</c:v>
                </c:pt>
                <c:pt idx="35">
                  <c:v>79307.247111561519</c:v>
                </c:pt>
                <c:pt idx="36">
                  <c:v>75863.0427992349</c:v>
                </c:pt>
                <c:pt idx="37">
                  <c:v>75863.0427992349</c:v>
                </c:pt>
                <c:pt idx="38">
                  <c:v>75863.0427992349</c:v>
                </c:pt>
                <c:pt idx="39">
                  <c:v>73153.845938332684</c:v>
                </c:pt>
                <c:pt idx="40">
                  <c:v>73153.845938332684</c:v>
                </c:pt>
                <c:pt idx="41">
                  <c:v>73153.845938332684</c:v>
                </c:pt>
                <c:pt idx="42">
                  <c:v>110317.83226274095</c:v>
                </c:pt>
                <c:pt idx="43">
                  <c:v>110317.83226274095</c:v>
                </c:pt>
                <c:pt idx="44">
                  <c:v>110317.83226274095</c:v>
                </c:pt>
                <c:pt idx="45">
                  <c:v>101960.07662370623</c:v>
                </c:pt>
                <c:pt idx="46">
                  <c:v>101960.07662370623</c:v>
                </c:pt>
                <c:pt idx="47">
                  <c:v>101960.07662370623</c:v>
                </c:pt>
                <c:pt idx="48">
                  <c:v>94569.138140688068</c:v>
                </c:pt>
                <c:pt idx="49">
                  <c:v>94569.138140688068</c:v>
                </c:pt>
                <c:pt idx="50">
                  <c:v>94569.138140688068</c:v>
                </c:pt>
                <c:pt idx="51">
                  <c:v>88663.686392688192</c:v>
                </c:pt>
                <c:pt idx="52">
                  <c:v>88663.686392688192</c:v>
                </c:pt>
                <c:pt idx="53">
                  <c:v>88663.686392688192</c:v>
                </c:pt>
                <c:pt idx="54">
                  <c:v>83963.642506728356</c:v>
                </c:pt>
                <c:pt idx="55">
                  <c:v>83963.642506728356</c:v>
                </c:pt>
                <c:pt idx="56">
                  <c:v>83963.642506728356</c:v>
                </c:pt>
                <c:pt idx="57">
                  <c:v>80241.928862589441</c:v>
                </c:pt>
                <c:pt idx="58">
                  <c:v>80241.928862589441</c:v>
                </c:pt>
                <c:pt idx="59">
                  <c:v>80241.928862589441</c:v>
                </c:pt>
              </c:numCache>
            </c:numRef>
          </c:val>
          <c:smooth val="0"/>
          <c:extLst>
            <c:ext xmlns:c16="http://schemas.microsoft.com/office/drawing/2014/chart" uri="{C3380CC4-5D6E-409C-BE32-E72D297353CC}">
              <c16:uniqueId val="{00000001-6CD1-4F48-8EC4-4CB835AD6B07}"/>
            </c:ext>
          </c:extLst>
        </c:ser>
        <c:ser>
          <c:idx val="13"/>
          <c:order val="13"/>
          <c:tx>
            <c:strRef>
              <c:f>'Breakeven analyse'!$S$90</c:f>
              <c:strCache>
                <c:ptCount val="1"/>
                <c:pt idx="0">
                  <c:v>Fuel cell</c:v>
                </c:pt>
              </c:strCache>
            </c:strRef>
          </c:tx>
          <c:spPr>
            <a:ln w="38100" cap="rnd">
              <a:solidFill>
                <a:schemeClr val="tx1"/>
              </a:solidFill>
              <a:round/>
            </a:ln>
            <a:effectLst/>
          </c:spPr>
          <c:marker>
            <c:symbol val="none"/>
          </c:marker>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analyse'!$S$91:$S$150</c:f>
              <c:numCache>
                <c:formatCode>_("€"* #,##0_);_("€"* \(#,##0\);_("€"* "-"_);_(@_)</c:formatCode>
                <c:ptCount val="60"/>
                <c:pt idx="0">
                  <c:v>174473.595324839</c:v>
                </c:pt>
                <c:pt idx="1">
                  <c:v>174473.595324839</c:v>
                </c:pt>
                <c:pt idx="2">
                  <c:v>174473.595324839</c:v>
                </c:pt>
                <c:pt idx="3">
                  <c:v>161653.96824340281</c:v>
                </c:pt>
                <c:pt idx="4">
                  <c:v>161653.96824340281</c:v>
                </c:pt>
                <c:pt idx="5">
                  <c:v>161653.96824340281</c:v>
                </c:pt>
                <c:pt idx="6">
                  <c:v>150312.01442444045</c:v>
                </c:pt>
                <c:pt idx="7">
                  <c:v>150312.01442444045</c:v>
                </c:pt>
                <c:pt idx="8">
                  <c:v>150312.01442444045</c:v>
                </c:pt>
                <c:pt idx="9">
                  <c:v>141241.02393915286</c:v>
                </c:pt>
                <c:pt idx="10">
                  <c:v>141241.02393915286</c:v>
                </c:pt>
                <c:pt idx="11">
                  <c:v>141241.02393915286</c:v>
                </c:pt>
                <c:pt idx="12">
                  <c:v>134012.58927846351</c:v>
                </c:pt>
                <c:pt idx="13">
                  <c:v>134012.58927846351</c:v>
                </c:pt>
                <c:pt idx="14">
                  <c:v>134012.58927846351</c:v>
                </c:pt>
                <c:pt idx="15">
                  <c:v>128279.36868963535</c:v>
                </c:pt>
                <c:pt idx="16">
                  <c:v>128279.36868963535</c:v>
                </c:pt>
                <c:pt idx="17">
                  <c:v>128279.36868963535</c:v>
                </c:pt>
                <c:pt idx="18">
                  <c:v>123759.74893556089</c:v>
                </c:pt>
                <c:pt idx="19">
                  <c:v>123759.74893556089</c:v>
                </c:pt>
                <c:pt idx="20">
                  <c:v>123759.74893556089</c:v>
                </c:pt>
                <c:pt idx="21">
                  <c:v>141924.53004138166</c:v>
                </c:pt>
                <c:pt idx="22">
                  <c:v>141924.53004138166</c:v>
                </c:pt>
                <c:pt idx="23">
                  <c:v>141924.53004138166</c:v>
                </c:pt>
                <c:pt idx="24">
                  <c:v>135639.21119481264</c:v>
                </c:pt>
                <c:pt idx="25">
                  <c:v>135639.21119481264</c:v>
                </c:pt>
                <c:pt idx="26">
                  <c:v>135639.21119481264</c:v>
                </c:pt>
                <c:pt idx="27">
                  <c:v>130121.60452152566</c:v>
                </c:pt>
                <c:pt idx="28">
                  <c:v>130121.60452152566</c:v>
                </c:pt>
                <c:pt idx="29">
                  <c:v>130121.60452152566</c:v>
                </c:pt>
                <c:pt idx="30">
                  <c:v>125782.03891494263</c:v>
                </c:pt>
                <c:pt idx="31">
                  <c:v>125782.03891494263</c:v>
                </c:pt>
                <c:pt idx="32">
                  <c:v>125782.03891494263</c:v>
                </c:pt>
                <c:pt idx="33">
                  <c:v>122398.97429187209</c:v>
                </c:pt>
                <c:pt idx="34">
                  <c:v>122398.97429187209</c:v>
                </c:pt>
                <c:pt idx="35">
                  <c:v>122398.97429187209</c:v>
                </c:pt>
                <c:pt idx="36">
                  <c:v>119792.7986134134</c:v>
                </c:pt>
                <c:pt idx="37">
                  <c:v>119792.7986134134</c:v>
                </c:pt>
                <c:pt idx="38">
                  <c:v>119792.7986134134</c:v>
                </c:pt>
                <c:pt idx="39">
                  <c:v>117817.89537548598</c:v>
                </c:pt>
                <c:pt idx="40">
                  <c:v>117817.89537548598</c:v>
                </c:pt>
                <c:pt idx="41">
                  <c:v>117817.89537548598</c:v>
                </c:pt>
                <c:pt idx="42">
                  <c:v>150472.19082790829</c:v>
                </c:pt>
                <c:pt idx="43">
                  <c:v>150472.19082790829</c:v>
                </c:pt>
                <c:pt idx="44">
                  <c:v>150472.19082790829</c:v>
                </c:pt>
                <c:pt idx="45">
                  <c:v>143579.87270739657</c:v>
                </c:pt>
                <c:pt idx="46">
                  <c:v>143579.87270739657</c:v>
                </c:pt>
                <c:pt idx="47">
                  <c:v>143579.87270739657</c:v>
                </c:pt>
                <c:pt idx="48">
                  <c:v>137527.46137090141</c:v>
                </c:pt>
                <c:pt idx="49">
                  <c:v>137527.46137090141</c:v>
                </c:pt>
                <c:pt idx="50">
                  <c:v>137527.46137090141</c:v>
                </c:pt>
                <c:pt idx="51">
                  <c:v>132763.94974258577</c:v>
                </c:pt>
                <c:pt idx="52">
                  <c:v>132763.94974258577</c:v>
                </c:pt>
                <c:pt idx="53">
                  <c:v>132763.94974258577</c:v>
                </c:pt>
                <c:pt idx="54">
                  <c:v>129046.92041490047</c:v>
                </c:pt>
                <c:pt idx="55">
                  <c:v>129046.92041490047</c:v>
                </c:pt>
                <c:pt idx="56">
                  <c:v>129046.92041490047</c:v>
                </c:pt>
                <c:pt idx="57">
                  <c:v>126179.83491100131</c:v>
                </c:pt>
                <c:pt idx="58">
                  <c:v>126179.83491100131</c:v>
                </c:pt>
                <c:pt idx="59">
                  <c:v>126179.83491100131</c:v>
                </c:pt>
              </c:numCache>
            </c:numRef>
          </c:val>
          <c:smooth val="0"/>
          <c:extLst>
            <c:ext xmlns:c16="http://schemas.microsoft.com/office/drawing/2014/chart" uri="{C3380CC4-5D6E-409C-BE32-E72D297353CC}">
              <c16:uniqueId val="{00000002-6CD1-4F48-8EC4-4CB835AD6B07}"/>
            </c:ext>
          </c:extLst>
        </c:ser>
        <c:dLbls>
          <c:showLegendKey val="0"/>
          <c:showVal val="0"/>
          <c:showCatName val="0"/>
          <c:showSerName val="0"/>
          <c:showPercent val="0"/>
          <c:showBubbleSize val="0"/>
        </c:dLbls>
        <c:marker val="1"/>
        <c:smooth val="0"/>
        <c:axId val="380829576"/>
        <c:axId val="381218264"/>
        <c:extLst>
          <c:ext xmlns:c15="http://schemas.microsoft.com/office/drawing/2012/chart" uri="{02D57815-91ED-43cb-92C2-25804820EDAC}">
            <c15:filteredLineSeries>
              <c15:ser>
                <c:idx val="9"/>
                <c:order val="10"/>
                <c:tx>
                  <c:strRef>
                    <c:extLst>
                      <c:ext uri="{02D57815-91ED-43cb-92C2-25804820EDAC}">
                        <c15:formulaRef>
                          <c15:sqref>'Breakeven analyse'!$P$90</c15:sqref>
                        </c15:formulaRef>
                      </c:ext>
                    </c:extLst>
                    <c:strCache>
                      <c:ptCount val="1"/>
                      <c:pt idx="0">
                        <c:v>Charging infra operational</c:v>
                      </c:pt>
                    </c:strCache>
                  </c:strRef>
                </c:tx>
                <c:spPr>
                  <a:ln w="15875" cap="rnd">
                    <a:solidFill>
                      <a:schemeClr val="accent4">
                        <a:lumMod val="60000"/>
                      </a:schemeClr>
                    </a:solidFill>
                    <a:round/>
                  </a:ln>
                  <a:effectLst/>
                </c:spPr>
                <c:marker>
                  <c:symbol val="none"/>
                </c:marker>
                <c:cat>
                  <c:multiLvlStrRef>
                    <c:extLst>
                      <c:ex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c:ext uri="{02D57815-91ED-43cb-92C2-25804820EDAC}">
                        <c15:formulaRef>
                          <c15:sqref>'Breakeven analyse'!$P$91:$P$150</c15:sqref>
                        </c15:formulaRef>
                      </c:ext>
                    </c:extLst>
                    <c:numCache>
                      <c:formatCode>_("€"* #,##0_);_("€"* \(#,##0\);_("€"* "-"_);_(@_)</c:formatCode>
                      <c:ptCount val="60"/>
                      <c:pt idx="0">
                        <c:v>0</c:v>
                      </c:pt>
                      <c:pt idx="1">
                        <c:v>3949.25</c:v>
                      </c:pt>
                      <c:pt idx="2">
                        <c:v>0</c:v>
                      </c:pt>
                      <c:pt idx="3">
                        <c:v>0</c:v>
                      </c:pt>
                      <c:pt idx="4">
                        <c:v>4012.4380000000001</c:v>
                      </c:pt>
                      <c:pt idx="5">
                        <c:v>0</c:v>
                      </c:pt>
                      <c:pt idx="6">
                        <c:v>0</c:v>
                      </c:pt>
                      <c:pt idx="7">
                        <c:v>4076.6370080000002</c:v>
                      </c:pt>
                      <c:pt idx="8">
                        <c:v>0</c:v>
                      </c:pt>
                      <c:pt idx="9">
                        <c:v>0</c:v>
                      </c:pt>
                      <c:pt idx="10">
                        <c:v>4141.8632001280002</c:v>
                      </c:pt>
                      <c:pt idx="11">
                        <c:v>0</c:v>
                      </c:pt>
                      <c:pt idx="12">
                        <c:v>0</c:v>
                      </c:pt>
                      <c:pt idx="13">
                        <c:v>4208.1330113300482</c:v>
                      </c:pt>
                      <c:pt idx="14">
                        <c:v>0</c:v>
                      </c:pt>
                      <c:pt idx="15">
                        <c:v>0</c:v>
                      </c:pt>
                      <c:pt idx="16">
                        <c:v>4275.4631395113292</c:v>
                      </c:pt>
                      <c:pt idx="17">
                        <c:v>0</c:v>
                      </c:pt>
                      <c:pt idx="18">
                        <c:v>0</c:v>
                      </c:pt>
                      <c:pt idx="19">
                        <c:v>4343.8705497435103</c:v>
                      </c:pt>
                      <c:pt idx="20">
                        <c:v>0</c:v>
                      </c:pt>
                      <c:pt idx="21">
                        <c:v>0</c:v>
                      </c:pt>
                      <c:pt idx="22">
                        <c:v>4413.372478539407</c:v>
                      </c:pt>
                      <c:pt idx="23">
                        <c:v>0</c:v>
                      </c:pt>
                      <c:pt idx="24">
                        <c:v>0</c:v>
                      </c:pt>
                      <c:pt idx="25">
                        <c:v>4483.9864381960369</c:v>
                      </c:pt>
                      <c:pt idx="26">
                        <c:v>0</c:v>
                      </c:pt>
                      <c:pt idx="27">
                        <c:v>0</c:v>
                      </c:pt>
                      <c:pt idx="28">
                        <c:v>4555.7302212071736</c:v>
                      </c:pt>
                      <c:pt idx="29">
                        <c:v>0</c:v>
                      </c:pt>
                      <c:pt idx="30">
                        <c:v>0</c:v>
                      </c:pt>
                      <c:pt idx="31">
                        <c:v>4628.6219047464892</c:v>
                      </c:pt>
                      <c:pt idx="32">
                        <c:v>0</c:v>
                      </c:pt>
                      <c:pt idx="33">
                        <c:v>0</c:v>
                      </c:pt>
                      <c:pt idx="34">
                        <c:v>4702.6798552224327</c:v>
                      </c:pt>
                      <c:pt idx="35">
                        <c:v>0</c:v>
                      </c:pt>
                      <c:pt idx="36">
                        <c:v>0</c:v>
                      </c:pt>
                      <c:pt idx="37">
                        <c:v>4777.9227329059913</c:v>
                      </c:pt>
                      <c:pt idx="38">
                        <c:v>0</c:v>
                      </c:pt>
                      <c:pt idx="39">
                        <c:v>0</c:v>
                      </c:pt>
                      <c:pt idx="40">
                        <c:v>4854.3694966324874</c:v>
                      </c:pt>
                      <c:pt idx="41">
                        <c:v>0</c:v>
                      </c:pt>
                      <c:pt idx="42">
                        <c:v>0</c:v>
                      </c:pt>
                      <c:pt idx="43">
                        <c:v>4932.0394085786074</c:v>
                      </c:pt>
                      <c:pt idx="44">
                        <c:v>0</c:v>
                      </c:pt>
                      <c:pt idx="45">
                        <c:v>0</c:v>
                      </c:pt>
                      <c:pt idx="46">
                        <c:v>5010.9520391158649</c:v>
                      </c:pt>
                      <c:pt idx="47">
                        <c:v>0</c:v>
                      </c:pt>
                      <c:pt idx="48">
                        <c:v>0</c:v>
                      </c:pt>
                      <c:pt idx="49">
                        <c:v>5091.1272717417187</c:v>
                      </c:pt>
                      <c:pt idx="50">
                        <c:v>0</c:v>
                      </c:pt>
                      <c:pt idx="51">
                        <c:v>0</c:v>
                      </c:pt>
                      <c:pt idx="52">
                        <c:v>5172.5853080895868</c:v>
                      </c:pt>
                      <c:pt idx="53">
                        <c:v>0</c:v>
                      </c:pt>
                      <c:pt idx="54">
                        <c:v>0</c:v>
                      </c:pt>
                      <c:pt idx="55">
                        <c:v>5255.3466730190194</c:v>
                      </c:pt>
                      <c:pt idx="56">
                        <c:v>0</c:v>
                      </c:pt>
                      <c:pt idx="57">
                        <c:v>0</c:v>
                      </c:pt>
                      <c:pt idx="58">
                        <c:v>5339.4322197873234</c:v>
                      </c:pt>
                      <c:pt idx="59">
                        <c:v>0</c:v>
                      </c:pt>
                    </c:numCache>
                  </c:numRef>
                </c:val>
                <c:smooth val="0"/>
                <c:extLst>
                  <c:ext xmlns:c16="http://schemas.microsoft.com/office/drawing/2014/chart" uri="{C3380CC4-5D6E-409C-BE32-E72D297353CC}">
                    <c16:uniqueId val="{0000000D-6CD1-4F48-8EC4-4CB835AD6B07}"/>
                  </c:ext>
                </c:extLst>
              </c15:ser>
            </c15:filteredLineSeries>
          </c:ext>
        </c:extLst>
      </c:lineChart>
      <c:catAx>
        <c:axId val="380829576"/>
        <c:scaling>
          <c:orientation val="minMax"/>
        </c:scaling>
        <c:delete val="0"/>
        <c:axPos val="b"/>
        <c:title>
          <c:tx>
            <c:rich>
              <a:bodyPr rot="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t>Jaar en type (D=diesel; E=Electrisch; F=Fuel Cell)</a:t>
                </a:r>
              </a:p>
            </c:rich>
          </c:tx>
          <c:overlay val="0"/>
          <c:spPr>
            <a:noFill/>
            <a:ln>
              <a:noFill/>
            </a:ln>
            <a:effectLst/>
          </c:spPr>
          <c:txPr>
            <a:bodyPr rot="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nl-N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nl-NL"/>
          </a:p>
        </c:txPr>
        <c:crossAx val="381218264"/>
        <c:crosses val="autoZero"/>
        <c:auto val="1"/>
        <c:lblAlgn val="ctr"/>
        <c:lblOffset val="100"/>
        <c:noMultiLvlLbl val="0"/>
      </c:catAx>
      <c:valAx>
        <c:axId val="381218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t>Voertuigkosten per jaar</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nl-NL"/>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nl-NL"/>
          </a:p>
        </c:txPr>
        <c:crossAx val="380829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nl-NL"/>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r>
              <a:rPr lang="en-GB"/>
              <a:t>Vergelijking van jaarlijkse en cumulatieve TCO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endParaRPr lang="nl-NL"/>
        </a:p>
      </c:txPr>
    </c:title>
    <c:autoTitleDeleted val="0"/>
    <c:plotArea>
      <c:layout/>
      <c:barChart>
        <c:barDir val="col"/>
        <c:grouping val="stacked"/>
        <c:varyColors val="0"/>
        <c:ser>
          <c:idx val="0"/>
          <c:order val="0"/>
          <c:tx>
            <c:strRef>
              <c:f>'Breakeven analyse'!$F$90</c:f>
              <c:strCache>
                <c:ptCount val="1"/>
                <c:pt idx="0">
                  <c:v>Investment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analyse'!$F$91:$F$150</c:f>
              <c:numCache>
                <c:formatCode>_("€"* #,##0_);_("€"* \(#,##0\);_("€"* "-"_);_(@_)</c:formatCode>
                <c:ptCount val="60"/>
              </c:numCache>
            </c:numRef>
          </c:val>
          <c:extLst>
            <c:ext xmlns:c16="http://schemas.microsoft.com/office/drawing/2014/chart" uri="{C3380CC4-5D6E-409C-BE32-E72D297353CC}">
              <c16:uniqueId val="{00000000-8A66-4052-9C01-B8D68A4F2022}"/>
            </c:ext>
          </c:extLst>
        </c:ser>
        <c:ser>
          <c:idx val="11"/>
          <c:order val="1"/>
          <c:tx>
            <c:strRef>
              <c:f>'Breakeven analyse'!$G$90</c:f>
              <c:strCache>
                <c:ptCount val="1"/>
                <c:pt idx="0">
                  <c:v>Depreciation</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analyse'!$G$91:$G$150</c:f>
              <c:numCache>
                <c:formatCode>_("€"* #,##0_);_("€"* \(#,##0\);_("€"* "-"_);_(@_)</c:formatCode>
                <c:ptCount val="60"/>
                <c:pt idx="0">
                  <c:v>31256.926032337469</c:v>
                </c:pt>
                <c:pt idx="1">
                  <c:v>46647.486865492167</c:v>
                </c:pt>
                <c:pt idx="2">
                  <c:v>76708.960181374263</c:v>
                </c:pt>
                <c:pt idx="3">
                  <c:v>25779.880213986824</c:v>
                </c:pt>
                <c:pt idx="4">
                  <c:v>38473.604935807591</c:v>
                </c:pt>
                <c:pt idx="5">
                  <c:v>63267.507584379935</c:v>
                </c:pt>
                <c:pt idx="6">
                  <c:v>20902.414421423393</c:v>
                </c:pt>
                <c:pt idx="7">
                  <c:v>31194.529531524295</c:v>
                </c:pt>
                <c:pt idx="8">
                  <c:v>51297.509994703847</c:v>
                </c:pt>
                <c:pt idx="9">
                  <c:v>16947.74859380001</c:v>
                </c:pt>
                <c:pt idx="10">
                  <c:v>25292.630475276092</c:v>
                </c:pt>
                <c:pt idx="11">
                  <c:v>41592.19530099538</c:v>
                </c:pt>
                <c:pt idx="12">
                  <c:v>13741.292111415865</c:v>
                </c:pt>
                <c:pt idx="13">
                  <c:v>20507.350678662606</c:v>
                </c:pt>
                <c:pt idx="14">
                  <c:v>33723.093189800951</c:v>
                </c:pt>
                <c:pt idx="15">
                  <c:v>11141.486306938537</c:v>
                </c:pt>
                <c:pt idx="16">
                  <c:v>16627.429569602824</c:v>
                </c:pt>
                <c:pt idx="17">
                  <c:v>27342.798475962671</c:v>
                </c:pt>
                <c:pt idx="18">
                  <c:v>9033.5549321867165</c:v>
                </c:pt>
                <c:pt idx="19">
                  <c:v>13481.57635884993</c:v>
                </c:pt>
                <c:pt idx="20">
                  <c:v>22169.633855627966</c:v>
                </c:pt>
                <c:pt idx="21">
                  <c:v>32166.06100003704</c:v>
                </c:pt>
                <c:pt idx="22">
                  <c:v>46413.963548852218</c:v>
                </c:pt>
                <c:pt idx="23">
                  <c:v>39674.334646525909</c:v>
                </c:pt>
                <c:pt idx="24">
                  <c:v>26529.710524919959</c:v>
                </c:pt>
                <c:pt idx="25">
                  <c:v>38281.001123010312</c:v>
                </c:pt>
                <c:pt idx="26">
                  <c:v>32722.334681884829</c:v>
                </c:pt>
                <c:pt idx="27">
                  <c:v>21510.379383819363</c:v>
                </c:pt>
                <c:pt idx="28">
                  <c:v>31038.365706059707</c:v>
                </c:pt>
                <c:pt idx="29">
                  <c:v>26531.380079345076</c:v>
                </c:pt>
                <c:pt idx="30">
                  <c:v>17440.688649852367</c:v>
                </c:pt>
                <c:pt idx="31">
                  <c:v>25166.012315284617</c:v>
                </c:pt>
                <c:pt idx="32">
                  <c:v>21511.733064216725</c:v>
                </c:pt>
                <c:pt idx="33">
                  <c:v>14140.969582800539</c:v>
                </c:pt>
                <c:pt idx="34">
                  <c:v>20404.688244568595</c:v>
                </c:pt>
                <c:pt idx="35">
                  <c:v>17441.786218515423</c:v>
                </c:pt>
                <c:pt idx="36">
                  <c:v>11465.546157971377</c:v>
                </c:pt>
                <c:pt idx="37">
                  <c:v>16544.190519415894</c:v>
                </c:pt>
                <c:pt idx="38">
                  <c:v>14141.859495199677</c:v>
                </c:pt>
                <c:pt idx="39">
                  <c:v>9296.3037598541978</c:v>
                </c:pt>
                <c:pt idx="40">
                  <c:v>13414.085854293246</c:v>
                </c:pt>
                <c:pt idx="41">
                  <c:v>11466.267701966608</c:v>
                </c:pt>
                <c:pt idx="42">
                  <c:v>33075.19596773661</c:v>
                </c:pt>
                <c:pt idx="43">
                  <c:v>50152.496615856493</c:v>
                </c:pt>
                <c:pt idx="44">
                  <c:v>43412.867713530191</c:v>
                </c:pt>
                <c:pt idx="45">
                  <c:v>27279.540835853099</c:v>
                </c:pt>
                <c:pt idx="46">
                  <c:v>41364.443638876663</c:v>
                </c:pt>
                <c:pt idx="47">
                  <c:v>35805.777197751187</c:v>
                </c:pt>
                <c:pt idx="48">
                  <c:v>22118.344346215341</c:v>
                </c:pt>
                <c:pt idx="49">
                  <c:v>33538.43136875068</c:v>
                </c:pt>
                <c:pt idx="50">
                  <c:v>29031.445742036052</c:v>
                </c:pt>
                <c:pt idx="51">
                  <c:v>17933.628705904724</c:v>
                </c:pt>
                <c:pt idx="52">
                  <c:v>27193.074044376164</c:v>
                </c:pt>
                <c:pt idx="53">
                  <c:v>23538.79479330828</c:v>
                </c:pt>
                <c:pt idx="54">
                  <c:v>14540.647054185212</c:v>
                </c:pt>
                <c:pt idx="55">
                  <c:v>22048.236778059862</c:v>
                </c:pt>
                <c:pt idx="56">
                  <c:v>19085.334752006693</c:v>
                </c:pt>
                <c:pt idx="57">
                  <c:v>11789.606009004217</c:v>
                </c:pt>
                <c:pt idx="58">
                  <c:v>17876.785251571331</c:v>
                </c:pt>
                <c:pt idx="59">
                  <c:v>15474.454227355118</c:v>
                </c:pt>
              </c:numCache>
            </c:numRef>
          </c:val>
          <c:extLst>
            <c:ext xmlns:c16="http://schemas.microsoft.com/office/drawing/2014/chart" uri="{C3380CC4-5D6E-409C-BE32-E72D297353CC}">
              <c16:uniqueId val="{00000001-8A66-4052-9C01-B8D68A4F2022}"/>
            </c:ext>
          </c:extLst>
        </c:ser>
        <c:ser>
          <c:idx val="1"/>
          <c:order val="2"/>
          <c:tx>
            <c:strRef>
              <c:f>'Breakeven analyse'!$H$90</c:f>
              <c:strCache>
                <c:ptCount val="1"/>
                <c:pt idx="0">
                  <c:v>Fixed vehicle cost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analyse'!$H$91:$H$150</c:f>
              <c:numCache>
                <c:formatCode>_("€"* #,##0_);_("€"* \(#,##0\);_("€"* "-"_);_(@_)</c:formatCode>
                <c:ptCount val="60"/>
                <c:pt idx="0">
                  <c:v>8600.4777991373412</c:v>
                </c:pt>
                <c:pt idx="1">
                  <c:v>14927.357407518604</c:v>
                </c:pt>
                <c:pt idx="2">
                  <c:v>24016.249497649605</c:v>
                </c:pt>
                <c:pt idx="3">
                  <c:v>8600.4777991373412</c:v>
                </c:pt>
                <c:pt idx="4">
                  <c:v>14927.357407518604</c:v>
                </c:pt>
                <c:pt idx="5">
                  <c:v>24016.249497649605</c:v>
                </c:pt>
                <c:pt idx="6">
                  <c:v>8600.4777991373412</c:v>
                </c:pt>
                <c:pt idx="7">
                  <c:v>14927.357407518604</c:v>
                </c:pt>
                <c:pt idx="8">
                  <c:v>24016.249497649605</c:v>
                </c:pt>
                <c:pt idx="9">
                  <c:v>8600.4777991373412</c:v>
                </c:pt>
                <c:pt idx="10">
                  <c:v>14927.357407518604</c:v>
                </c:pt>
                <c:pt idx="11">
                  <c:v>24016.249497649605</c:v>
                </c:pt>
                <c:pt idx="12">
                  <c:v>8600.4777991373412</c:v>
                </c:pt>
                <c:pt idx="13">
                  <c:v>14927.357407518604</c:v>
                </c:pt>
                <c:pt idx="14">
                  <c:v>24016.249497649605</c:v>
                </c:pt>
                <c:pt idx="15">
                  <c:v>8600.4777991373412</c:v>
                </c:pt>
                <c:pt idx="16">
                  <c:v>14927.357407518604</c:v>
                </c:pt>
                <c:pt idx="17">
                  <c:v>24016.249497649605</c:v>
                </c:pt>
                <c:pt idx="18">
                  <c:v>8600.4777991373412</c:v>
                </c:pt>
                <c:pt idx="19">
                  <c:v>14927.357407518604</c:v>
                </c:pt>
                <c:pt idx="20">
                  <c:v>24016.249497649605</c:v>
                </c:pt>
                <c:pt idx="21">
                  <c:v>8600.4777991373412</c:v>
                </c:pt>
                <c:pt idx="22">
                  <c:v>14927.357407518604</c:v>
                </c:pt>
                <c:pt idx="23">
                  <c:v>24016.249497649605</c:v>
                </c:pt>
                <c:pt idx="24">
                  <c:v>8600.4777991373412</c:v>
                </c:pt>
                <c:pt idx="25">
                  <c:v>14927.357407518604</c:v>
                </c:pt>
                <c:pt idx="26">
                  <c:v>24016.249497649605</c:v>
                </c:pt>
                <c:pt idx="27">
                  <c:v>8600.4777991373412</c:v>
                </c:pt>
                <c:pt idx="28">
                  <c:v>14927.357407518604</c:v>
                </c:pt>
                <c:pt idx="29">
                  <c:v>24016.249497649605</c:v>
                </c:pt>
                <c:pt idx="30">
                  <c:v>8600.4777991373412</c:v>
                </c:pt>
                <c:pt idx="31">
                  <c:v>14927.357407518604</c:v>
                </c:pt>
                <c:pt idx="32">
                  <c:v>24016.249497649605</c:v>
                </c:pt>
                <c:pt idx="33">
                  <c:v>8600.4777991373412</c:v>
                </c:pt>
                <c:pt idx="34">
                  <c:v>14927.357407518604</c:v>
                </c:pt>
                <c:pt idx="35">
                  <c:v>24016.249497649605</c:v>
                </c:pt>
                <c:pt idx="36">
                  <c:v>8600.4777991373412</c:v>
                </c:pt>
                <c:pt idx="37">
                  <c:v>14927.357407518604</c:v>
                </c:pt>
                <c:pt idx="38">
                  <c:v>24016.249497649605</c:v>
                </c:pt>
                <c:pt idx="39">
                  <c:v>8600.4777991373412</c:v>
                </c:pt>
                <c:pt idx="40">
                  <c:v>14927.357407518604</c:v>
                </c:pt>
                <c:pt idx="41">
                  <c:v>24016.249497649605</c:v>
                </c:pt>
                <c:pt idx="42">
                  <c:v>8600.4777991373412</c:v>
                </c:pt>
                <c:pt idx="43">
                  <c:v>14927.357407518604</c:v>
                </c:pt>
                <c:pt idx="44">
                  <c:v>24016.249497649605</c:v>
                </c:pt>
                <c:pt idx="45">
                  <c:v>8600.4777991373412</c:v>
                </c:pt>
                <c:pt idx="46">
                  <c:v>14927.357407518604</c:v>
                </c:pt>
                <c:pt idx="47">
                  <c:v>24016.249497649605</c:v>
                </c:pt>
                <c:pt idx="48">
                  <c:v>8600.4777991373412</c:v>
                </c:pt>
                <c:pt idx="49">
                  <c:v>14927.357407518604</c:v>
                </c:pt>
                <c:pt idx="50">
                  <c:v>24016.249497649605</c:v>
                </c:pt>
                <c:pt idx="51">
                  <c:v>8600.4777991373412</c:v>
                </c:pt>
                <c:pt idx="52">
                  <c:v>14927.357407518604</c:v>
                </c:pt>
                <c:pt idx="53">
                  <c:v>24016.249497649605</c:v>
                </c:pt>
                <c:pt idx="54">
                  <c:v>8600.4777991373412</c:v>
                </c:pt>
                <c:pt idx="55">
                  <c:v>14927.357407518604</c:v>
                </c:pt>
                <c:pt idx="56">
                  <c:v>24016.249497649605</c:v>
                </c:pt>
                <c:pt idx="57">
                  <c:v>8600.4777991373412</c:v>
                </c:pt>
                <c:pt idx="58">
                  <c:v>14927.357407518604</c:v>
                </c:pt>
                <c:pt idx="59">
                  <c:v>24016.249497649605</c:v>
                </c:pt>
              </c:numCache>
            </c:numRef>
          </c:val>
          <c:extLst>
            <c:ext xmlns:c16="http://schemas.microsoft.com/office/drawing/2014/chart" uri="{C3380CC4-5D6E-409C-BE32-E72D297353CC}">
              <c16:uniqueId val="{00000002-8A66-4052-9C01-B8D68A4F2022}"/>
            </c:ext>
          </c:extLst>
        </c:ser>
        <c:ser>
          <c:idx val="2"/>
          <c:order val="3"/>
          <c:tx>
            <c:strRef>
              <c:f>'Breakeven analyse'!$I$90</c:f>
              <c:strCache>
                <c:ptCount val="1"/>
                <c:pt idx="0">
                  <c:v>Energy</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analyse'!$I$91:$I$150</c:f>
              <c:numCache>
                <c:formatCode>_("€"* #,##0_);_("€"* \(#,##0\);_("€"* "-"_);_(@_)</c:formatCode>
                <c:ptCount val="60"/>
                <c:pt idx="0">
                  <c:v>38740.473475698578</c:v>
                </c:pt>
                <c:pt idx="1">
                  <c:v>30569.168352037934</c:v>
                </c:pt>
                <c:pt idx="2">
                  <c:v>62182.551555815109</c:v>
                </c:pt>
                <c:pt idx="3">
                  <c:v>39124.075148944343</c:v>
                </c:pt>
                <c:pt idx="4">
                  <c:v>30874.860035558311</c:v>
                </c:pt>
                <c:pt idx="5">
                  <c:v>62804.377071373259</c:v>
                </c:pt>
                <c:pt idx="6">
                  <c:v>39511.512838922557</c:v>
                </c:pt>
                <c:pt idx="7">
                  <c:v>31183.608635913897</c:v>
                </c:pt>
                <c:pt idx="8">
                  <c:v>63432.420842086991</c:v>
                </c:pt>
                <c:pt idx="9">
                  <c:v>39902.824905800553</c:v>
                </c:pt>
                <c:pt idx="10">
                  <c:v>31495.44472227303</c:v>
                </c:pt>
                <c:pt idx="11">
                  <c:v>64066.745050507852</c:v>
                </c:pt>
                <c:pt idx="12">
                  <c:v>40298.050093347338</c:v>
                </c:pt>
                <c:pt idx="13">
                  <c:v>31810.399169495766</c:v>
                </c:pt>
                <c:pt idx="14">
                  <c:v>64707.412501012943</c:v>
                </c:pt>
                <c:pt idx="15">
                  <c:v>40697.22753276959</c:v>
                </c:pt>
                <c:pt idx="16">
                  <c:v>32128.503161190722</c:v>
                </c:pt>
                <c:pt idx="17">
                  <c:v>65354.48662602307</c:v>
                </c:pt>
                <c:pt idx="18">
                  <c:v>41100.396746586062</c:v>
                </c:pt>
                <c:pt idx="19">
                  <c:v>32449.788192802633</c:v>
                </c:pt>
                <c:pt idx="20">
                  <c:v>66008.031492283306</c:v>
                </c:pt>
                <c:pt idx="21">
                  <c:v>41507.597652540688</c:v>
                </c:pt>
                <c:pt idx="22">
                  <c:v>32774.286074730655</c:v>
                </c:pt>
                <c:pt idx="23">
                  <c:v>66668.111807206122</c:v>
                </c:pt>
                <c:pt idx="24">
                  <c:v>41918.870567554877</c:v>
                </c:pt>
                <c:pt idx="25">
                  <c:v>33102.028935477967</c:v>
                </c:pt>
                <c:pt idx="26">
                  <c:v>67334.792925278205</c:v>
                </c:pt>
                <c:pt idx="27">
                  <c:v>42334.256211719206</c:v>
                </c:pt>
                <c:pt idx="28">
                  <c:v>33433.04922483275</c:v>
                </c:pt>
                <c:pt idx="29">
                  <c:v>68008.140854530982</c:v>
                </c:pt>
                <c:pt idx="30">
                  <c:v>42753.795712325184</c:v>
                </c:pt>
                <c:pt idx="31">
                  <c:v>33767.379717081079</c:v>
                </c:pt>
                <c:pt idx="32">
                  <c:v>68688.222263076299</c:v>
                </c:pt>
                <c:pt idx="33">
                  <c:v>43177.530607937195</c:v>
                </c:pt>
                <c:pt idx="34">
                  <c:v>34105.053514251878</c:v>
                </c:pt>
                <c:pt idx="35">
                  <c:v>69375.104485707052</c:v>
                </c:pt>
                <c:pt idx="36">
                  <c:v>43605.502852505342</c:v>
                </c:pt>
                <c:pt idx="37">
                  <c:v>34446.104049394402</c:v>
                </c:pt>
                <c:pt idx="38">
                  <c:v>70068.85553056412</c:v>
                </c:pt>
                <c:pt idx="39">
                  <c:v>44037.754819519178</c:v>
                </c:pt>
                <c:pt idx="40">
                  <c:v>34790.565089888347</c:v>
                </c:pt>
                <c:pt idx="41">
                  <c:v>70769.544085869769</c:v>
                </c:pt>
                <c:pt idx="42">
                  <c:v>44474.329306203152</c:v>
                </c:pt>
                <c:pt idx="43">
                  <c:v>35138.470740787234</c:v>
                </c:pt>
                <c:pt idx="44">
                  <c:v>71477.239526728474</c:v>
                </c:pt>
                <c:pt idx="45">
                  <c:v>44915.269537753942</c:v>
                </c:pt>
                <c:pt idx="46">
                  <c:v>35489.8554481951</c:v>
                </c:pt>
                <c:pt idx="47">
                  <c:v>72192.011921995741</c:v>
                </c:pt>
                <c:pt idx="48">
                  <c:v>45360.619171620274</c:v>
                </c:pt>
                <c:pt idx="49">
                  <c:v>35844.754002677058</c:v>
                </c:pt>
                <c:pt idx="50">
                  <c:v>72913.932041215725</c:v>
                </c:pt>
                <c:pt idx="51">
                  <c:v>45810.422301825252</c:v>
                </c:pt>
                <c:pt idx="52">
                  <c:v>36203.201542703828</c:v>
                </c:pt>
                <c:pt idx="53">
                  <c:v>73643.071361627881</c:v>
                </c:pt>
                <c:pt idx="54">
                  <c:v>46264.723463332281</c:v>
                </c:pt>
                <c:pt idx="55">
                  <c:v>36565.233558130873</c:v>
                </c:pt>
                <c:pt idx="56">
                  <c:v>74379.502075244163</c:v>
                </c:pt>
                <c:pt idx="57">
                  <c:v>46723.567636454369</c:v>
                </c:pt>
                <c:pt idx="58">
                  <c:v>36930.885893712169</c:v>
                </c:pt>
                <c:pt idx="59">
                  <c:v>75123.297095996575</c:v>
                </c:pt>
              </c:numCache>
            </c:numRef>
          </c:val>
          <c:extLst>
            <c:ext xmlns:c16="http://schemas.microsoft.com/office/drawing/2014/chart" uri="{C3380CC4-5D6E-409C-BE32-E72D297353CC}">
              <c16:uniqueId val="{00000003-8A66-4052-9C01-B8D68A4F2022}"/>
            </c:ext>
          </c:extLst>
        </c:ser>
        <c:ser>
          <c:idx val="3"/>
          <c:order val="4"/>
          <c:tx>
            <c:strRef>
              <c:f>'Breakeven analyse'!$J$90</c:f>
              <c:strCache>
                <c:ptCount val="1"/>
                <c:pt idx="0">
                  <c:v>Maintenance</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analyse'!$J$91:$J$150</c:f>
              <c:numCache>
                <c:formatCode>_("€"* #,##0_);_("€"* \(#,##0\);_("€"* "-"_);_(@_)</c:formatCode>
                <c:ptCount val="60"/>
                <c:pt idx="0">
                  <c:v>6967.5498399999997</c:v>
                </c:pt>
                <c:pt idx="1">
                  <c:v>4768.3668400000006</c:v>
                </c:pt>
                <c:pt idx="2">
                  <c:v>11166.732839999999</c:v>
                </c:pt>
                <c:pt idx="3">
                  <c:v>6967.5498399999997</c:v>
                </c:pt>
                <c:pt idx="4">
                  <c:v>4768.3668400000006</c:v>
                </c:pt>
                <c:pt idx="5">
                  <c:v>11166.732839999999</c:v>
                </c:pt>
                <c:pt idx="6">
                  <c:v>6967.5498399999997</c:v>
                </c:pt>
                <c:pt idx="7">
                  <c:v>4768.3668400000006</c:v>
                </c:pt>
                <c:pt idx="8">
                  <c:v>11166.732839999999</c:v>
                </c:pt>
                <c:pt idx="9">
                  <c:v>6967.5498399999997</c:v>
                </c:pt>
                <c:pt idx="10">
                  <c:v>4768.3668400000006</c:v>
                </c:pt>
                <c:pt idx="11">
                  <c:v>11166.732839999999</c:v>
                </c:pt>
                <c:pt idx="12">
                  <c:v>6967.5498399999997</c:v>
                </c:pt>
                <c:pt idx="13">
                  <c:v>4768.3668400000006</c:v>
                </c:pt>
                <c:pt idx="14">
                  <c:v>11166.732839999999</c:v>
                </c:pt>
                <c:pt idx="15">
                  <c:v>6967.5498399999997</c:v>
                </c:pt>
                <c:pt idx="16">
                  <c:v>4768.3668400000006</c:v>
                </c:pt>
                <c:pt idx="17">
                  <c:v>11166.732839999999</c:v>
                </c:pt>
                <c:pt idx="18">
                  <c:v>6967.5498399999997</c:v>
                </c:pt>
                <c:pt idx="19">
                  <c:v>4768.3668400000006</c:v>
                </c:pt>
                <c:pt idx="20">
                  <c:v>11166.732839999999</c:v>
                </c:pt>
                <c:pt idx="21">
                  <c:v>6967.5498399999997</c:v>
                </c:pt>
                <c:pt idx="22">
                  <c:v>4768.3668400000006</c:v>
                </c:pt>
                <c:pt idx="23">
                  <c:v>11166.732839999999</c:v>
                </c:pt>
                <c:pt idx="24">
                  <c:v>6967.5498399999997</c:v>
                </c:pt>
                <c:pt idx="25">
                  <c:v>4768.3668400000006</c:v>
                </c:pt>
                <c:pt idx="26">
                  <c:v>11166.732839999999</c:v>
                </c:pt>
                <c:pt idx="27">
                  <c:v>6967.5498399999997</c:v>
                </c:pt>
                <c:pt idx="28">
                  <c:v>4768.3668400000006</c:v>
                </c:pt>
                <c:pt idx="29">
                  <c:v>11166.732839999999</c:v>
                </c:pt>
                <c:pt idx="30">
                  <c:v>6967.5498399999997</c:v>
                </c:pt>
                <c:pt idx="31">
                  <c:v>4768.3668400000006</c:v>
                </c:pt>
                <c:pt idx="32">
                  <c:v>11166.732839999999</c:v>
                </c:pt>
                <c:pt idx="33">
                  <c:v>6967.5498399999997</c:v>
                </c:pt>
                <c:pt idx="34">
                  <c:v>4768.3668400000006</c:v>
                </c:pt>
                <c:pt idx="35">
                  <c:v>11166.732839999999</c:v>
                </c:pt>
                <c:pt idx="36">
                  <c:v>6967.5498399999997</c:v>
                </c:pt>
                <c:pt idx="37">
                  <c:v>4768.3668400000006</c:v>
                </c:pt>
                <c:pt idx="38">
                  <c:v>11166.732839999999</c:v>
                </c:pt>
                <c:pt idx="39">
                  <c:v>6967.5498399999997</c:v>
                </c:pt>
                <c:pt idx="40">
                  <c:v>4768.3668400000006</c:v>
                </c:pt>
                <c:pt idx="41">
                  <c:v>11166.732839999999</c:v>
                </c:pt>
                <c:pt idx="42">
                  <c:v>6967.5498399999997</c:v>
                </c:pt>
                <c:pt idx="43">
                  <c:v>4768.3668400000006</c:v>
                </c:pt>
                <c:pt idx="44">
                  <c:v>11166.732839999999</c:v>
                </c:pt>
                <c:pt idx="45">
                  <c:v>6967.5498399999997</c:v>
                </c:pt>
                <c:pt idx="46">
                  <c:v>4768.3668400000006</c:v>
                </c:pt>
                <c:pt idx="47">
                  <c:v>11166.732839999999</c:v>
                </c:pt>
                <c:pt idx="48">
                  <c:v>6967.5498399999997</c:v>
                </c:pt>
                <c:pt idx="49">
                  <c:v>4768.3668400000006</c:v>
                </c:pt>
                <c:pt idx="50">
                  <c:v>11166.732839999999</c:v>
                </c:pt>
                <c:pt idx="51">
                  <c:v>6967.5498399999997</c:v>
                </c:pt>
                <c:pt idx="52">
                  <c:v>4768.3668400000006</c:v>
                </c:pt>
                <c:pt idx="53">
                  <c:v>11166.732839999999</c:v>
                </c:pt>
                <c:pt idx="54">
                  <c:v>6967.5498399999997</c:v>
                </c:pt>
                <c:pt idx="55">
                  <c:v>4768.3668400000006</c:v>
                </c:pt>
                <c:pt idx="56">
                  <c:v>11166.732839999999</c:v>
                </c:pt>
                <c:pt idx="57">
                  <c:v>6967.5498399999997</c:v>
                </c:pt>
                <c:pt idx="58">
                  <c:v>4768.3668400000006</c:v>
                </c:pt>
                <c:pt idx="59">
                  <c:v>11166.732839999999</c:v>
                </c:pt>
              </c:numCache>
            </c:numRef>
          </c:val>
          <c:extLst>
            <c:ext xmlns:c16="http://schemas.microsoft.com/office/drawing/2014/chart" uri="{C3380CC4-5D6E-409C-BE32-E72D297353CC}">
              <c16:uniqueId val="{00000004-8A66-4052-9C01-B8D68A4F2022}"/>
            </c:ext>
          </c:extLst>
        </c:ser>
        <c:ser>
          <c:idx val="4"/>
          <c:order val="5"/>
          <c:tx>
            <c:strRef>
              <c:f>'Breakeven analyse'!$K$90</c:f>
              <c:strCache>
                <c:ptCount val="1"/>
                <c:pt idx="0">
                  <c:v>Tolheffing</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analyse'!$K$91:$K$150</c:f>
              <c:numCache>
                <c:formatCode>_("€"* #,##0_);_("€"* \(#,##0\);_("€"*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5-8A66-4052-9C01-B8D68A4F2022}"/>
            </c:ext>
          </c:extLst>
        </c:ser>
        <c:ser>
          <c:idx val="5"/>
          <c:order val="6"/>
          <c:tx>
            <c:strRef>
              <c:f>'Breakeven analyse'!$L$90</c:f>
              <c:strCache>
                <c:ptCount val="1"/>
                <c:pt idx="0">
                  <c:v>CO2 prijs</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analyse'!$L$91:$L$150</c:f>
              <c:numCache>
                <c:formatCode>_("€"* #,##0_);_("€"* \(#,##0\);_("€"*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6-8A66-4052-9C01-B8D68A4F2022}"/>
            </c:ext>
          </c:extLst>
        </c:ser>
        <c:ser>
          <c:idx val="6"/>
          <c:order val="7"/>
          <c:tx>
            <c:strRef>
              <c:f>'Breakeven analyse'!$M$90</c:f>
              <c:strCache>
                <c:ptCount val="1"/>
                <c:pt idx="0">
                  <c:v>HBE</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analyse'!$M$91:$M$150</c:f>
              <c:numCache>
                <c:formatCode>_("€"* #,##0_);_("€"* \(#,##0\);_("€"*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7-8A66-4052-9C01-B8D68A4F2022}"/>
            </c:ext>
          </c:extLst>
        </c:ser>
        <c:ser>
          <c:idx val="7"/>
          <c:order val="8"/>
          <c:tx>
            <c:strRef>
              <c:f>'Breakeven analyse'!$N$90</c:f>
              <c:strCache>
                <c:ptCount val="1"/>
                <c:pt idx="0">
                  <c:v>Specific transport cost</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analyse'!$N$91:$N$150</c:f>
              <c:numCache>
                <c:formatCode>_("€"* #,##0_);_("€"* \(#,##0\);_("€"* "-"_);_(@_)</c:formatCode>
                <c:ptCount val="60"/>
                <c:pt idx="0">
                  <c:v>399.10124999999999</c:v>
                </c:pt>
                <c:pt idx="1">
                  <c:v>399.10124999999999</c:v>
                </c:pt>
                <c:pt idx="2">
                  <c:v>399.10124999999999</c:v>
                </c:pt>
                <c:pt idx="3">
                  <c:v>399.10124999999999</c:v>
                </c:pt>
                <c:pt idx="4">
                  <c:v>399.10124999999999</c:v>
                </c:pt>
                <c:pt idx="5">
                  <c:v>399.10124999999999</c:v>
                </c:pt>
                <c:pt idx="6">
                  <c:v>399.10124999999999</c:v>
                </c:pt>
                <c:pt idx="7">
                  <c:v>399.10124999999999</c:v>
                </c:pt>
                <c:pt idx="8">
                  <c:v>399.10124999999999</c:v>
                </c:pt>
                <c:pt idx="9">
                  <c:v>399.10124999999999</c:v>
                </c:pt>
                <c:pt idx="10">
                  <c:v>399.10124999999999</c:v>
                </c:pt>
                <c:pt idx="11">
                  <c:v>399.10124999999999</c:v>
                </c:pt>
                <c:pt idx="12">
                  <c:v>399.10124999999999</c:v>
                </c:pt>
                <c:pt idx="13">
                  <c:v>399.10124999999999</c:v>
                </c:pt>
                <c:pt idx="14">
                  <c:v>399.10124999999999</c:v>
                </c:pt>
                <c:pt idx="15">
                  <c:v>399.10124999999999</c:v>
                </c:pt>
                <c:pt idx="16">
                  <c:v>399.10124999999999</c:v>
                </c:pt>
                <c:pt idx="17">
                  <c:v>399.10124999999999</c:v>
                </c:pt>
                <c:pt idx="18">
                  <c:v>399.10124999999999</c:v>
                </c:pt>
                <c:pt idx="19">
                  <c:v>399.10124999999999</c:v>
                </c:pt>
                <c:pt idx="20">
                  <c:v>399.10124999999999</c:v>
                </c:pt>
                <c:pt idx="21">
                  <c:v>399.10124999999999</c:v>
                </c:pt>
                <c:pt idx="22">
                  <c:v>399.10124999999999</c:v>
                </c:pt>
                <c:pt idx="23">
                  <c:v>399.10124999999999</c:v>
                </c:pt>
                <c:pt idx="24">
                  <c:v>399.10124999999999</c:v>
                </c:pt>
                <c:pt idx="25">
                  <c:v>399.10124999999999</c:v>
                </c:pt>
                <c:pt idx="26">
                  <c:v>399.10124999999999</c:v>
                </c:pt>
                <c:pt idx="27">
                  <c:v>399.10124999999999</c:v>
                </c:pt>
                <c:pt idx="28">
                  <c:v>399.10124999999999</c:v>
                </c:pt>
                <c:pt idx="29">
                  <c:v>399.10124999999999</c:v>
                </c:pt>
                <c:pt idx="30">
                  <c:v>399.10124999999999</c:v>
                </c:pt>
                <c:pt idx="31">
                  <c:v>399.10124999999999</c:v>
                </c:pt>
                <c:pt idx="32">
                  <c:v>399.10124999999999</c:v>
                </c:pt>
                <c:pt idx="33">
                  <c:v>399.10124999999999</c:v>
                </c:pt>
                <c:pt idx="34">
                  <c:v>399.10124999999999</c:v>
                </c:pt>
                <c:pt idx="35">
                  <c:v>399.10124999999999</c:v>
                </c:pt>
                <c:pt idx="36">
                  <c:v>399.10124999999999</c:v>
                </c:pt>
                <c:pt idx="37">
                  <c:v>399.10124999999999</c:v>
                </c:pt>
                <c:pt idx="38">
                  <c:v>399.10124999999999</c:v>
                </c:pt>
                <c:pt idx="39">
                  <c:v>399.10124999999999</c:v>
                </c:pt>
                <c:pt idx="40">
                  <c:v>399.10124999999999</c:v>
                </c:pt>
                <c:pt idx="41">
                  <c:v>399.10124999999999</c:v>
                </c:pt>
                <c:pt idx="42">
                  <c:v>399.10124999999999</c:v>
                </c:pt>
                <c:pt idx="43">
                  <c:v>399.10124999999999</c:v>
                </c:pt>
                <c:pt idx="44">
                  <c:v>399.10124999999999</c:v>
                </c:pt>
                <c:pt idx="45">
                  <c:v>399.10124999999999</c:v>
                </c:pt>
                <c:pt idx="46">
                  <c:v>399.10124999999999</c:v>
                </c:pt>
                <c:pt idx="47">
                  <c:v>399.10124999999999</c:v>
                </c:pt>
                <c:pt idx="48">
                  <c:v>399.10124999999999</c:v>
                </c:pt>
                <c:pt idx="49">
                  <c:v>399.10124999999999</c:v>
                </c:pt>
                <c:pt idx="50">
                  <c:v>399.10124999999999</c:v>
                </c:pt>
                <c:pt idx="51">
                  <c:v>399.10124999999999</c:v>
                </c:pt>
                <c:pt idx="52">
                  <c:v>399.10124999999999</c:v>
                </c:pt>
                <c:pt idx="53">
                  <c:v>399.10124999999999</c:v>
                </c:pt>
                <c:pt idx="54">
                  <c:v>399.10124999999999</c:v>
                </c:pt>
                <c:pt idx="55">
                  <c:v>399.10124999999999</c:v>
                </c:pt>
                <c:pt idx="56">
                  <c:v>399.10124999999999</c:v>
                </c:pt>
                <c:pt idx="57">
                  <c:v>399.10124999999999</c:v>
                </c:pt>
                <c:pt idx="58">
                  <c:v>399.10124999999999</c:v>
                </c:pt>
                <c:pt idx="59">
                  <c:v>399.10124999999999</c:v>
                </c:pt>
              </c:numCache>
            </c:numRef>
          </c:val>
          <c:extLst>
            <c:ext xmlns:c16="http://schemas.microsoft.com/office/drawing/2014/chart" uri="{C3380CC4-5D6E-409C-BE32-E72D297353CC}">
              <c16:uniqueId val="{00000008-8A66-4052-9C01-B8D68A4F2022}"/>
            </c:ext>
          </c:extLst>
        </c:ser>
        <c:ser>
          <c:idx val="8"/>
          <c:order val="9"/>
          <c:tx>
            <c:strRef>
              <c:f>'Breakeven analyse'!$O$90</c:f>
              <c:strCache>
                <c:ptCount val="1"/>
                <c:pt idx="0">
                  <c:v>Charging infra investment</c:v>
                </c:pt>
              </c:strCache>
            </c:strRef>
          </c:tx>
          <c:spPr>
            <a:gradFill rotWithShape="1">
              <a:gsLst>
                <a:gs pos="0">
                  <a:schemeClr val="accent3">
                    <a:lumMod val="60000"/>
                    <a:lumMod val="110000"/>
                    <a:satMod val="105000"/>
                    <a:tint val="67000"/>
                  </a:schemeClr>
                </a:gs>
                <a:gs pos="50000">
                  <a:schemeClr val="accent3">
                    <a:lumMod val="60000"/>
                    <a:lumMod val="105000"/>
                    <a:satMod val="103000"/>
                    <a:tint val="73000"/>
                  </a:schemeClr>
                </a:gs>
                <a:gs pos="100000">
                  <a:schemeClr val="accent3">
                    <a:lumMod val="60000"/>
                    <a:lumMod val="105000"/>
                    <a:satMod val="109000"/>
                    <a:tint val="81000"/>
                  </a:schemeClr>
                </a:gs>
              </a:gsLst>
              <a:lin ang="5400000" scaled="0"/>
            </a:gradFill>
            <a:ln w="9525" cap="flat" cmpd="sng" algn="ctr">
              <a:solidFill>
                <a:schemeClr val="accent3">
                  <a:lumMod val="60000"/>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analyse'!$O$91:$O$150</c:f>
              <c:numCache>
                <c:formatCode>_("€"* #,##0_);_("€"* \(#,##0\);_("€"* "-"_);_(@_)</c:formatCode>
                <c:ptCount val="60"/>
                <c:pt idx="0">
                  <c:v>0</c:v>
                </c:pt>
                <c:pt idx="1">
                  <c:v>29215.5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9-8A66-4052-9C01-B8D68A4F2022}"/>
            </c:ext>
          </c:extLst>
        </c:ser>
        <c:ser>
          <c:idx val="9"/>
          <c:order val="10"/>
          <c:tx>
            <c:strRef>
              <c:f>'Breakeven analyse'!$P$90</c:f>
              <c:strCache>
                <c:ptCount val="1"/>
                <c:pt idx="0">
                  <c:v>Charging infra operational</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cat>
            <c:multiLvlStrRef>
              <c:f>'Breakeven analyse'!$D$91:$E$150</c:f>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f>'Breakeven analyse'!$P$91:$P$150</c:f>
              <c:numCache>
                <c:formatCode>_("€"* #,##0_);_("€"* \(#,##0\);_("€"* "-"_);_(@_)</c:formatCode>
                <c:ptCount val="60"/>
                <c:pt idx="0">
                  <c:v>0</c:v>
                </c:pt>
                <c:pt idx="1">
                  <c:v>3949.25</c:v>
                </c:pt>
                <c:pt idx="2">
                  <c:v>0</c:v>
                </c:pt>
                <c:pt idx="3">
                  <c:v>0</c:v>
                </c:pt>
                <c:pt idx="4">
                  <c:v>4012.4380000000001</c:v>
                </c:pt>
                <c:pt idx="5">
                  <c:v>0</c:v>
                </c:pt>
                <c:pt idx="6">
                  <c:v>0</c:v>
                </c:pt>
                <c:pt idx="7">
                  <c:v>4076.6370080000002</c:v>
                </c:pt>
                <c:pt idx="8">
                  <c:v>0</c:v>
                </c:pt>
                <c:pt idx="9">
                  <c:v>0</c:v>
                </c:pt>
                <c:pt idx="10">
                  <c:v>4141.8632001280002</c:v>
                </c:pt>
                <c:pt idx="11">
                  <c:v>0</c:v>
                </c:pt>
                <c:pt idx="12">
                  <c:v>0</c:v>
                </c:pt>
                <c:pt idx="13">
                  <c:v>4208.1330113300482</c:v>
                </c:pt>
                <c:pt idx="14">
                  <c:v>0</c:v>
                </c:pt>
                <c:pt idx="15">
                  <c:v>0</c:v>
                </c:pt>
                <c:pt idx="16">
                  <c:v>4275.4631395113292</c:v>
                </c:pt>
                <c:pt idx="17">
                  <c:v>0</c:v>
                </c:pt>
                <c:pt idx="18">
                  <c:v>0</c:v>
                </c:pt>
                <c:pt idx="19">
                  <c:v>4343.8705497435103</c:v>
                </c:pt>
                <c:pt idx="20">
                  <c:v>0</c:v>
                </c:pt>
                <c:pt idx="21">
                  <c:v>0</c:v>
                </c:pt>
                <c:pt idx="22">
                  <c:v>4413.372478539407</c:v>
                </c:pt>
                <c:pt idx="23">
                  <c:v>0</c:v>
                </c:pt>
                <c:pt idx="24">
                  <c:v>0</c:v>
                </c:pt>
                <c:pt idx="25">
                  <c:v>4483.9864381960369</c:v>
                </c:pt>
                <c:pt idx="26">
                  <c:v>0</c:v>
                </c:pt>
                <c:pt idx="27">
                  <c:v>0</c:v>
                </c:pt>
                <c:pt idx="28">
                  <c:v>4555.7302212071736</c:v>
                </c:pt>
                <c:pt idx="29">
                  <c:v>0</c:v>
                </c:pt>
                <c:pt idx="30">
                  <c:v>0</c:v>
                </c:pt>
                <c:pt idx="31">
                  <c:v>4628.6219047464892</c:v>
                </c:pt>
                <c:pt idx="32">
                  <c:v>0</c:v>
                </c:pt>
                <c:pt idx="33">
                  <c:v>0</c:v>
                </c:pt>
                <c:pt idx="34">
                  <c:v>4702.6798552224327</c:v>
                </c:pt>
                <c:pt idx="35">
                  <c:v>0</c:v>
                </c:pt>
                <c:pt idx="36">
                  <c:v>0</c:v>
                </c:pt>
                <c:pt idx="37">
                  <c:v>4777.9227329059913</c:v>
                </c:pt>
                <c:pt idx="38">
                  <c:v>0</c:v>
                </c:pt>
                <c:pt idx="39">
                  <c:v>0</c:v>
                </c:pt>
                <c:pt idx="40">
                  <c:v>4854.3694966324874</c:v>
                </c:pt>
                <c:pt idx="41">
                  <c:v>0</c:v>
                </c:pt>
                <c:pt idx="42">
                  <c:v>0</c:v>
                </c:pt>
                <c:pt idx="43">
                  <c:v>4932.0394085786074</c:v>
                </c:pt>
                <c:pt idx="44">
                  <c:v>0</c:v>
                </c:pt>
                <c:pt idx="45">
                  <c:v>0</c:v>
                </c:pt>
                <c:pt idx="46">
                  <c:v>5010.9520391158649</c:v>
                </c:pt>
                <c:pt idx="47">
                  <c:v>0</c:v>
                </c:pt>
                <c:pt idx="48">
                  <c:v>0</c:v>
                </c:pt>
                <c:pt idx="49">
                  <c:v>5091.1272717417187</c:v>
                </c:pt>
                <c:pt idx="50">
                  <c:v>0</c:v>
                </c:pt>
                <c:pt idx="51">
                  <c:v>0</c:v>
                </c:pt>
                <c:pt idx="52">
                  <c:v>5172.5853080895868</c:v>
                </c:pt>
                <c:pt idx="53">
                  <c:v>0</c:v>
                </c:pt>
                <c:pt idx="54">
                  <c:v>0</c:v>
                </c:pt>
                <c:pt idx="55">
                  <c:v>5255.3466730190194</c:v>
                </c:pt>
                <c:pt idx="56">
                  <c:v>0</c:v>
                </c:pt>
                <c:pt idx="57">
                  <c:v>0</c:v>
                </c:pt>
                <c:pt idx="58">
                  <c:v>5339.4322197873234</c:v>
                </c:pt>
                <c:pt idx="59">
                  <c:v>0</c:v>
                </c:pt>
              </c:numCache>
            </c:numRef>
          </c:val>
          <c:extLst>
            <c:ext xmlns:c16="http://schemas.microsoft.com/office/drawing/2014/chart" uri="{C3380CC4-5D6E-409C-BE32-E72D297353CC}">
              <c16:uniqueId val="{0000000A-8A66-4052-9C01-B8D68A4F2022}"/>
            </c:ext>
          </c:extLst>
        </c:ser>
        <c:dLbls>
          <c:showLegendKey val="0"/>
          <c:showVal val="0"/>
          <c:showCatName val="0"/>
          <c:showSerName val="0"/>
          <c:showPercent val="0"/>
          <c:showBubbleSize val="0"/>
        </c:dLbls>
        <c:gapWidth val="150"/>
        <c:overlap val="100"/>
        <c:axId val="380565496"/>
        <c:axId val="380777152"/>
        <c:extLst>
          <c:ext xmlns:c15="http://schemas.microsoft.com/office/drawing/2012/chart" uri="{02D57815-91ED-43cb-92C2-25804820EDAC}">
            <c15:filteredBarSeries>
              <c15:ser>
                <c:idx val="10"/>
                <c:order val="11"/>
                <c:tx>
                  <c:strRef>
                    <c:extLst>
                      <c:ext uri="{02D57815-91ED-43cb-92C2-25804820EDAC}">
                        <c15:formulaRef>
                          <c15:sqref>'Breakeven analyse'!$Q$90</c15:sqref>
                        </c15:formulaRef>
                      </c:ext>
                    </c:extLst>
                    <c:strCache>
                      <c:ptCount val="1"/>
                      <c:pt idx="0">
                        <c:v>Diesel</c:v>
                      </c:pt>
                    </c:strCache>
                  </c:strRef>
                </c:tx>
                <c:spPr>
                  <a:gradFill rotWithShape="1">
                    <a:gsLst>
                      <a:gs pos="0">
                        <a:schemeClr val="accent5">
                          <a:lumMod val="60000"/>
                          <a:lumMod val="110000"/>
                          <a:satMod val="105000"/>
                          <a:tint val="67000"/>
                        </a:schemeClr>
                      </a:gs>
                      <a:gs pos="50000">
                        <a:schemeClr val="accent5">
                          <a:lumMod val="60000"/>
                          <a:lumMod val="105000"/>
                          <a:satMod val="103000"/>
                          <a:tint val="73000"/>
                        </a:schemeClr>
                      </a:gs>
                      <a:gs pos="100000">
                        <a:schemeClr val="accent5">
                          <a:lumMod val="60000"/>
                          <a:lumMod val="105000"/>
                          <a:satMod val="109000"/>
                          <a:tint val="81000"/>
                        </a:schemeClr>
                      </a:gs>
                    </a:gsLst>
                    <a:lin ang="5400000" scaled="0"/>
                  </a:gradFill>
                  <a:ln w="9525" cap="flat" cmpd="sng" algn="ctr">
                    <a:solidFill>
                      <a:schemeClr val="accent5">
                        <a:lumMod val="60000"/>
                        <a:shade val="95000"/>
                      </a:schemeClr>
                    </a:solidFill>
                    <a:round/>
                  </a:ln>
                  <a:effectLst/>
                </c:spPr>
                <c:invertIfNegative val="0"/>
                <c:cat>
                  <c:multiLvlStrRef>
                    <c:extLst>
                      <c:ex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c:ext uri="{02D57815-91ED-43cb-92C2-25804820EDAC}">
                        <c15:formulaRef>
                          <c15:sqref>'Breakeven analyse'!$Q$91:$Q$150</c15:sqref>
                        </c15:formulaRef>
                      </c:ext>
                    </c:extLst>
                    <c:numCache>
                      <c:formatCode>_("€"* #,##0_);_("€"* \(#,##0\);_("€"* "-"_);_(@_)</c:formatCode>
                      <c:ptCount val="60"/>
                      <c:pt idx="0">
                        <c:v>85964.528397173388</c:v>
                      </c:pt>
                      <c:pt idx="1">
                        <c:v>85964.528397173388</c:v>
                      </c:pt>
                      <c:pt idx="2">
                        <c:v>85964.528397173388</c:v>
                      </c:pt>
                      <c:pt idx="3">
                        <c:v>80871.084252068511</c:v>
                      </c:pt>
                      <c:pt idx="4">
                        <c:v>80871.084252068511</c:v>
                      </c:pt>
                      <c:pt idx="5">
                        <c:v>80871.084252068511</c:v>
                      </c:pt>
                      <c:pt idx="6">
                        <c:v>76381.056149483309</c:v>
                      </c:pt>
                      <c:pt idx="7">
                        <c:v>76381.056149483309</c:v>
                      </c:pt>
                      <c:pt idx="8">
                        <c:v>76381.056149483309</c:v>
                      </c:pt>
                      <c:pt idx="9">
                        <c:v>72817.702388737904</c:v>
                      </c:pt>
                      <c:pt idx="10">
                        <c:v>72817.702388737904</c:v>
                      </c:pt>
                      <c:pt idx="11">
                        <c:v>72817.702388737904</c:v>
                      </c:pt>
                      <c:pt idx="12">
                        <c:v>70006.47109390056</c:v>
                      </c:pt>
                      <c:pt idx="13">
                        <c:v>70006.47109390056</c:v>
                      </c:pt>
                      <c:pt idx="14">
                        <c:v>70006.47109390056</c:v>
                      </c:pt>
                      <c:pt idx="15">
                        <c:v>67805.842728845484</c:v>
                      </c:pt>
                      <c:pt idx="16">
                        <c:v>67805.842728845484</c:v>
                      </c:pt>
                      <c:pt idx="17">
                        <c:v>67805.842728845484</c:v>
                      </c:pt>
                      <c:pt idx="18">
                        <c:v>66101.080567910132</c:v>
                      </c:pt>
                      <c:pt idx="19">
                        <c:v>66101.080567910132</c:v>
                      </c:pt>
                      <c:pt idx="20">
                        <c:v>66101.080567910132</c:v>
                      </c:pt>
                      <c:pt idx="21">
                        <c:v>89640.787541715079</c:v>
                      </c:pt>
                      <c:pt idx="22">
                        <c:v>89640.787541715079</c:v>
                      </c:pt>
                      <c:pt idx="23">
                        <c:v>89640.787541715079</c:v>
                      </c:pt>
                      <c:pt idx="24">
                        <c:v>84415.709981612192</c:v>
                      </c:pt>
                      <c:pt idx="25">
                        <c:v>84415.709981612192</c:v>
                      </c:pt>
                      <c:pt idx="26">
                        <c:v>84415.709981612192</c:v>
                      </c:pt>
                      <c:pt idx="27">
                        <c:v>79811.764484675921</c:v>
                      </c:pt>
                      <c:pt idx="28">
                        <c:v>79811.764484675921</c:v>
                      </c:pt>
                      <c:pt idx="29">
                        <c:v>79811.764484675921</c:v>
                      </c:pt>
                      <c:pt idx="30">
                        <c:v>76161.613251314906</c:v>
                      </c:pt>
                      <c:pt idx="31">
                        <c:v>76161.613251314906</c:v>
                      </c:pt>
                      <c:pt idx="32">
                        <c:v>76161.613251314906</c:v>
                      </c:pt>
                      <c:pt idx="33">
                        <c:v>73285.629079875071</c:v>
                      </c:pt>
                      <c:pt idx="34">
                        <c:v>73285.629079875071</c:v>
                      </c:pt>
                      <c:pt idx="35">
                        <c:v>73285.629079875071</c:v>
                      </c:pt>
                      <c:pt idx="36">
                        <c:v>71038.177899614064</c:v>
                      </c:pt>
                      <c:pt idx="37">
                        <c:v>71038.177899614064</c:v>
                      </c:pt>
                      <c:pt idx="38">
                        <c:v>71038.177899614064</c:v>
                      </c:pt>
                      <c:pt idx="39">
                        <c:v>69301.187468510732</c:v>
                      </c:pt>
                      <c:pt idx="40">
                        <c:v>69301.187468510732</c:v>
                      </c:pt>
                      <c:pt idx="41">
                        <c:v>69301.187468510732</c:v>
                      </c:pt>
                      <c:pt idx="42">
                        <c:v>93516.654163077095</c:v>
                      </c:pt>
                      <c:pt idx="43">
                        <c:v>93516.654163077095</c:v>
                      </c:pt>
                      <c:pt idx="44">
                        <c:v>93516.654163077095</c:v>
                      </c:pt>
                      <c:pt idx="45">
                        <c:v>88161.939262744389</c:v>
                      </c:pt>
                      <c:pt idx="46">
                        <c:v>88161.939262744389</c:v>
                      </c:pt>
                      <c:pt idx="47">
                        <c:v>88161.939262744389</c:v>
                      </c:pt>
                      <c:pt idx="48">
                        <c:v>83446.092406972952</c:v>
                      </c:pt>
                      <c:pt idx="49">
                        <c:v>83446.092406972952</c:v>
                      </c:pt>
                      <c:pt idx="50">
                        <c:v>83446.092406972952</c:v>
                      </c:pt>
                      <c:pt idx="51">
                        <c:v>79711.17989686731</c:v>
                      </c:pt>
                      <c:pt idx="52">
                        <c:v>79711.17989686731</c:v>
                      </c:pt>
                      <c:pt idx="53">
                        <c:v>79711.17989686731</c:v>
                      </c:pt>
                      <c:pt idx="54">
                        <c:v>76772.499406654824</c:v>
                      </c:pt>
                      <c:pt idx="55">
                        <c:v>76772.499406654824</c:v>
                      </c:pt>
                      <c:pt idx="56">
                        <c:v>76772.499406654824</c:v>
                      </c:pt>
                      <c:pt idx="57">
                        <c:v>74480.302534595918</c:v>
                      </c:pt>
                      <c:pt idx="58">
                        <c:v>74480.302534595918</c:v>
                      </c:pt>
                      <c:pt idx="59">
                        <c:v>74480.302534595918</c:v>
                      </c:pt>
                    </c:numCache>
                  </c:numRef>
                </c:val>
                <c:extLst>
                  <c:ext xmlns:c16="http://schemas.microsoft.com/office/drawing/2014/chart" uri="{C3380CC4-5D6E-409C-BE32-E72D297353CC}">
                    <c16:uniqueId val="{0000000B-8A66-4052-9C01-B8D68A4F202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'Breakeven analyse'!$R$90</c15:sqref>
                        </c15:formulaRef>
                      </c:ext>
                    </c:extLst>
                    <c:strCache>
                      <c:ptCount val="1"/>
                      <c:pt idx="0">
                        <c:v>Electric</c:v>
                      </c:pt>
                    </c:strCache>
                  </c:strRef>
                </c:tx>
                <c:spPr>
                  <a:gradFill rotWithShape="1">
                    <a:gsLst>
                      <a:gs pos="0">
                        <a:schemeClr val="accent1">
                          <a:lumMod val="80000"/>
                          <a:lumOff val="20000"/>
                          <a:lumMod val="110000"/>
                          <a:satMod val="105000"/>
                          <a:tint val="67000"/>
                        </a:schemeClr>
                      </a:gs>
                      <a:gs pos="50000">
                        <a:schemeClr val="accent1">
                          <a:lumMod val="80000"/>
                          <a:lumOff val="20000"/>
                          <a:lumMod val="105000"/>
                          <a:satMod val="103000"/>
                          <a:tint val="73000"/>
                        </a:schemeClr>
                      </a:gs>
                      <a:gs pos="100000">
                        <a:schemeClr val="accent1">
                          <a:lumMod val="80000"/>
                          <a:lumOff val="20000"/>
                          <a:lumMod val="105000"/>
                          <a:satMod val="109000"/>
                          <a:tint val="81000"/>
                        </a:schemeClr>
                      </a:gs>
                    </a:gsLst>
                    <a:lin ang="5400000" scaled="0"/>
                  </a:gradFill>
                  <a:ln w="9525" cap="flat" cmpd="sng" algn="ctr">
                    <a:solidFill>
                      <a:schemeClr val="accent1">
                        <a:lumMod val="80000"/>
                        <a:lumOff val="20000"/>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analyse'!$R$91:$R$150</c15:sqref>
                        </c15:formulaRef>
                      </c:ext>
                    </c:extLst>
                    <c:numCache>
                      <c:formatCode>_("€"* #,##0_);_("€"* \(#,##0\);_("€"* "-"_);_(@_)</c:formatCode>
                      <c:ptCount val="60"/>
                      <c:pt idx="0">
                        <c:v>130476.23071504872</c:v>
                      </c:pt>
                      <c:pt idx="1">
                        <c:v>130476.23071504872</c:v>
                      </c:pt>
                      <c:pt idx="2">
                        <c:v>130476.23071504872</c:v>
                      </c:pt>
                      <c:pt idx="3">
                        <c:v>93455.72846888451</c:v>
                      </c:pt>
                      <c:pt idx="4">
                        <c:v>93455.72846888451</c:v>
                      </c:pt>
                      <c:pt idx="5">
                        <c:v>93455.72846888451</c:v>
                      </c:pt>
                      <c:pt idx="6">
                        <c:v>86549.600672956818</c:v>
                      </c:pt>
                      <c:pt idx="7">
                        <c:v>86549.600672956818</c:v>
                      </c:pt>
                      <c:pt idx="8">
                        <c:v>86549.600672956818</c:v>
                      </c:pt>
                      <c:pt idx="9">
                        <c:v>81024.763895195749</c:v>
                      </c:pt>
                      <c:pt idx="10">
                        <c:v>81024.763895195749</c:v>
                      </c:pt>
                      <c:pt idx="11">
                        <c:v>81024.763895195749</c:v>
                      </c:pt>
                      <c:pt idx="12">
                        <c:v>76620.708357007039</c:v>
                      </c:pt>
                      <c:pt idx="13">
                        <c:v>76620.708357007039</c:v>
                      </c:pt>
                      <c:pt idx="14">
                        <c:v>76620.708357007039</c:v>
                      </c:pt>
                      <c:pt idx="15">
                        <c:v>73126.221367823484</c:v>
                      </c:pt>
                      <c:pt idx="16">
                        <c:v>73126.221367823484</c:v>
                      </c:pt>
                      <c:pt idx="17">
                        <c:v>73126.221367823484</c:v>
                      </c:pt>
                      <c:pt idx="18">
                        <c:v>70370.060598914686</c:v>
                      </c:pt>
                      <c:pt idx="19">
                        <c:v>70370.060598914686</c:v>
                      </c:pt>
                      <c:pt idx="20">
                        <c:v>70370.060598914686</c:v>
                      </c:pt>
                      <c:pt idx="21">
                        <c:v>103696.44759964089</c:v>
                      </c:pt>
                      <c:pt idx="22">
                        <c:v>103696.44759964089</c:v>
                      </c:pt>
                      <c:pt idx="23">
                        <c:v>103696.44759964089</c:v>
                      </c:pt>
                      <c:pt idx="24">
                        <c:v>95961.841994202929</c:v>
                      </c:pt>
                      <c:pt idx="25">
                        <c:v>95961.841994202929</c:v>
                      </c:pt>
                      <c:pt idx="26">
                        <c:v>95961.841994202929</c:v>
                      </c:pt>
                      <c:pt idx="27">
                        <c:v>89121.970649618248</c:v>
                      </c:pt>
                      <c:pt idx="28">
                        <c:v>89121.970649618248</c:v>
                      </c:pt>
                      <c:pt idx="29">
                        <c:v>89121.970649618248</c:v>
                      </c:pt>
                      <c:pt idx="30">
                        <c:v>83656.83943463079</c:v>
                      </c:pt>
                      <c:pt idx="31">
                        <c:v>83656.83943463079</c:v>
                      </c:pt>
                      <c:pt idx="32">
                        <c:v>83656.83943463079</c:v>
                      </c:pt>
                      <c:pt idx="33">
                        <c:v>79307.247111561519</c:v>
                      </c:pt>
                      <c:pt idx="34">
                        <c:v>79307.247111561519</c:v>
                      </c:pt>
                      <c:pt idx="35">
                        <c:v>79307.247111561519</c:v>
                      </c:pt>
                      <c:pt idx="36">
                        <c:v>75863.0427992349</c:v>
                      </c:pt>
                      <c:pt idx="37">
                        <c:v>75863.0427992349</c:v>
                      </c:pt>
                      <c:pt idx="38">
                        <c:v>75863.0427992349</c:v>
                      </c:pt>
                      <c:pt idx="39">
                        <c:v>73153.845938332684</c:v>
                      </c:pt>
                      <c:pt idx="40">
                        <c:v>73153.845938332684</c:v>
                      </c:pt>
                      <c:pt idx="41">
                        <c:v>73153.845938332684</c:v>
                      </c:pt>
                      <c:pt idx="42">
                        <c:v>110317.83226274095</c:v>
                      </c:pt>
                      <c:pt idx="43">
                        <c:v>110317.83226274095</c:v>
                      </c:pt>
                      <c:pt idx="44">
                        <c:v>110317.83226274095</c:v>
                      </c:pt>
                      <c:pt idx="45">
                        <c:v>101960.07662370623</c:v>
                      </c:pt>
                      <c:pt idx="46">
                        <c:v>101960.07662370623</c:v>
                      </c:pt>
                      <c:pt idx="47">
                        <c:v>101960.07662370623</c:v>
                      </c:pt>
                      <c:pt idx="48">
                        <c:v>94569.138140688068</c:v>
                      </c:pt>
                      <c:pt idx="49">
                        <c:v>94569.138140688068</c:v>
                      </c:pt>
                      <c:pt idx="50">
                        <c:v>94569.138140688068</c:v>
                      </c:pt>
                      <c:pt idx="51">
                        <c:v>88663.686392688192</c:v>
                      </c:pt>
                      <c:pt idx="52">
                        <c:v>88663.686392688192</c:v>
                      </c:pt>
                      <c:pt idx="53">
                        <c:v>88663.686392688192</c:v>
                      </c:pt>
                      <c:pt idx="54">
                        <c:v>83963.642506728356</c:v>
                      </c:pt>
                      <c:pt idx="55">
                        <c:v>83963.642506728356</c:v>
                      </c:pt>
                      <c:pt idx="56">
                        <c:v>83963.642506728356</c:v>
                      </c:pt>
                      <c:pt idx="57">
                        <c:v>80241.928862589441</c:v>
                      </c:pt>
                      <c:pt idx="58">
                        <c:v>80241.928862589441</c:v>
                      </c:pt>
                      <c:pt idx="59">
                        <c:v>80241.928862589441</c:v>
                      </c:pt>
                    </c:numCache>
                  </c:numRef>
                </c:val>
                <c:extLst xmlns:c15="http://schemas.microsoft.com/office/drawing/2012/chart">
                  <c:ext xmlns:c16="http://schemas.microsoft.com/office/drawing/2014/chart" uri="{C3380CC4-5D6E-409C-BE32-E72D297353CC}">
                    <c16:uniqueId val="{0000000C-8A66-4052-9C01-B8D68A4F202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'Breakeven analyse'!$S$90</c15:sqref>
                        </c15:formulaRef>
                      </c:ext>
                    </c:extLst>
                    <c:strCache>
                      <c:ptCount val="1"/>
                      <c:pt idx="0">
                        <c:v>Fuel cell</c:v>
                      </c:pt>
                    </c:strCache>
                  </c:strRef>
                </c:tx>
                <c:spPr>
                  <a:gradFill rotWithShape="1">
                    <a:gsLst>
                      <a:gs pos="0">
                        <a:schemeClr val="accent2">
                          <a:lumMod val="80000"/>
                          <a:lumOff val="20000"/>
                          <a:lumMod val="110000"/>
                          <a:satMod val="105000"/>
                          <a:tint val="67000"/>
                        </a:schemeClr>
                      </a:gs>
                      <a:gs pos="50000">
                        <a:schemeClr val="accent2">
                          <a:lumMod val="80000"/>
                          <a:lumOff val="20000"/>
                          <a:lumMod val="105000"/>
                          <a:satMod val="103000"/>
                          <a:tint val="73000"/>
                        </a:schemeClr>
                      </a:gs>
                      <a:gs pos="100000">
                        <a:schemeClr val="accent2">
                          <a:lumMod val="80000"/>
                          <a:lumOff val="20000"/>
                          <a:lumMod val="105000"/>
                          <a:satMod val="109000"/>
                          <a:tint val="81000"/>
                        </a:schemeClr>
                      </a:gs>
                    </a:gsLst>
                    <a:lin ang="5400000" scaled="0"/>
                  </a:gradFill>
                  <a:ln w="9525" cap="flat" cmpd="sng" algn="ctr">
                    <a:solidFill>
                      <a:schemeClr val="accent2">
                        <a:lumMod val="80000"/>
                        <a:lumOff val="20000"/>
                        <a:shade val="95000"/>
                      </a:schemeClr>
                    </a:solidFill>
                    <a:round/>
                  </a:ln>
                  <a:effectLst/>
                </c:spPr>
                <c:invertIfNegative val="0"/>
                <c:cat>
                  <c:multiLvlStrRef>
                    <c:extLst xmlns:c15="http://schemas.microsoft.com/office/drawing/2012/chart">
                      <c:ext xmlns:c15="http://schemas.microsoft.com/office/drawing/2012/chart" uri="{02D57815-91ED-43cb-92C2-25804820EDAC}">
                        <c15:formulaRef>
                          <c15:sqref>'Breakeven analyse'!$D$91:$E$150</c15:sqref>
                        </c15:formulaRef>
                      </c:ext>
                    </c:extLst>
                    <c:multiLvlStrCache>
                      <c:ptCount val="60"/>
                      <c:lvl>
                        <c:pt idx="0">
                          <c:v>D</c:v>
                        </c:pt>
                        <c:pt idx="1">
                          <c:v>E</c:v>
                        </c:pt>
                        <c:pt idx="2">
                          <c:v>F</c:v>
                        </c:pt>
                        <c:pt idx="3">
                          <c:v>D</c:v>
                        </c:pt>
                        <c:pt idx="4">
                          <c:v>E</c:v>
                        </c:pt>
                        <c:pt idx="5">
                          <c:v>F</c:v>
                        </c:pt>
                        <c:pt idx="6">
                          <c:v>D</c:v>
                        </c:pt>
                        <c:pt idx="7">
                          <c:v>E</c:v>
                        </c:pt>
                        <c:pt idx="8">
                          <c:v>F</c:v>
                        </c:pt>
                        <c:pt idx="9">
                          <c:v>D</c:v>
                        </c:pt>
                        <c:pt idx="10">
                          <c:v>E</c:v>
                        </c:pt>
                        <c:pt idx="11">
                          <c:v>F</c:v>
                        </c:pt>
                        <c:pt idx="12">
                          <c:v>D</c:v>
                        </c:pt>
                        <c:pt idx="13">
                          <c:v>E</c:v>
                        </c:pt>
                        <c:pt idx="14">
                          <c:v>F</c:v>
                        </c:pt>
                        <c:pt idx="15">
                          <c:v>D</c:v>
                        </c:pt>
                        <c:pt idx="16">
                          <c:v>E</c:v>
                        </c:pt>
                        <c:pt idx="17">
                          <c:v>F</c:v>
                        </c:pt>
                        <c:pt idx="18">
                          <c:v>D</c:v>
                        </c:pt>
                        <c:pt idx="19">
                          <c:v>E</c:v>
                        </c:pt>
                        <c:pt idx="20">
                          <c:v>F</c:v>
                        </c:pt>
                        <c:pt idx="21">
                          <c:v>D</c:v>
                        </c:pt>
                        <c:pt idx="22">
                          <c:v>E</c:v>
                        </c:pt>
                        <c:pt idx="23">
                          <c:v>F</c:v>
                        </c:pt>
                        <c:pt idx="24">
                          <c:v>D</c:v>
                        </c:pt>
                        <c:pt idx="25">
                          <c:v>E</c:v>
                        </c:pt>
                        <c:pt idx="26">
                          <c:v>F</c:v>
                        </c:pt>
                        <c:pt idx="27">
                          <c:v>D</c:v>
                        </c:pt>
                        <c:pt idx="28">
                          <c:v>E</c:v>
                        </c:pt>
                        <c:pt idx="29">
                          <c:v>F</c:v>
                        </c:pt>
                        <c:pt idx="30">
                          <c:v>D</c:v>
                        </c:pt>
                        <c:pt idx="31">
                          <c:v>E</c:v>
                        </c:pt>
                        <c:pt idx="32">
                          <c:v>F</c:v>
                        </c:pt>
                        <c:pt idx="33">
                          <c:v>D</c:v>
                        </c:pt>
                        <c:pt idx="34">
                          <c:v>E</c:v>
                        </c:pt>
                        <c:pt idx="35">
                          <c:v>F</c:v>
                        </c:pt>
                        <c:pt idx="36">
                          <c:v>D</c:v>
                        </c:pt>
                        <c:pt idx="37">
                          <c:v>E</c:v>
                        </c:pt>
                        <c:pt idx="38">
                          <c:v>F</c:v>
                        </c:pt>
                        <c:pt idx="39">
                          <c:v>D</c:v>
                        </c:pt>
                        <c:pt idx="40">
                          <c:v>E</c:v>
                        </c:pt>
                        <c:pt idx="41">
                          <c:v>F</c:v>
                        </c:pt>
                        <c:pt idx="42">
                          <c:v>D</c:v>
                        </c:pt>
                        <c:pt idx="43">
                          <c:v>E</c:v>
                        </c:pt>
                        <c:pt idx="44">
                          <c:v>F</c:v>
                        </c:pt>
                        <c:pt idx="45">
                          <c:v>D</c:v>
                        </c:pt>
                        <c:pt idx="46">
                          <c:v>E</c:v>
                        </c:pt>
                        <c:pt idx="47">
                          <c:v>F</c:v>
                        </c:pt>
                        <c:pt idx="48">
                          <c:v>D</c:v>
                        </c:pt>
                        <c:pt idx="49">
                          <c:v>E</c:v>
                        </c:pt>
                        <c:pt idx="50">
                          <c:v>F</c:v>
                        </c:pt>
                        <c:pt idx="51">
                          <c:v>D</c:v>
                        </c:pt>
                        <c:pt idx="52">
                          <c:v>E</c:v>
                        </c:pt>
                        <c:pt idx="53">
                          <c:v>F</c:v>
                        </c:pt>
                        <c:pt idx="54">
                          <c:v>D</c:v>
                        </c:pt>
                        <c:pt idx="55">
                          <c:v>E</c:v>
                        </c:pt>
                        <c:pt idx="56">
                          <c:v>F</c:v>
                        </c:pt>
                        <c:pt idx="57">
                          <c:v>D</c:v>
                        </c:pt>
                        <c:pt idx="58">
                          <c:v>E</c:v>
                        </c:pt>
                        <c:pt idx="59">
                          <c:v>F</c:v>
                        </c:pt>
                      </c:lvl>
                      <c:lvl>
                        <c:pt idx="0">
                          <c:v>2030</c:v>
                        </c:pt>
                        <c:pt idx="3">
                          <c:v>2031</c:v>
                        </c:pt>
                        <c:pt idx="6">
                          <c:v>2032</c:v>
                        </c:pt>
                        <c:pt idx="9">
                          <c:v>2033</c:v>
                        </c:pt>
                        <c:pt idx="12">
                          <c:v>2034</c:v>
                        </c:pt>
                        <c:pt idx="15">
                          <c:v>2035</c:v>
                        </c:pt>
                        <c:pt idx="18">
                          <c:v>2036</c:v>
                        </c:pt>
                        <c:pt idx="21">
                          <c:v>2037</c:v>
                        </c:pt>
                        <c:pt idx="24">
                          <c:v>2038</c:v>
                        </c:pt>
                        <c:pt idx="27">
                          <c:v>2039</c:v>
                        </c:pt>
                        <c:pt idx="30">
                          <c:v>2040</c:v>
                        </c:pt>
                        <c:pt idx="33">
                          <c:v>2041</c:v>
                        </c:pt>
                        <c:pt idx="36">
                          <c:v>2042</c:v>
                        </c:pt>
                        <c:pt idx="39">
                          <c:v>2043</c:v>
                        </c:pt>
                        <c:pt idx="42">
                          <c:v>2044</c:v>
                        </c:pt>
                        <c:pt idx="45">
                          <c:v>2045</c:v>
                        </c:pt>
                        <c:pt idx="48">
                          <c:v>2046</c:v>
                        </c:pt>
                        <c:pt idx="51">
                          <c:v>2047</c:v>
                        </c:pt>
                        <c:pt idx="54">
                          <c:v>2048</c:v>
                        </c:pt>
                        <c:pt idx="57">
                          <c:v>2049</c:v>
                        </c:pt>
                      </c:lvl>
                    </c:multiLvlStrCache>
                  </c:multiLvlStrRef>
                </c:cat>
                <c:val>
                  <c:numRef>
                    <c:extLst xmlns:c15="http://schemas.microsoft.com/office/drawing/2012/chart">
                      <c:ext xmlns:c15="http://schemas.microsoft.com/office/drawing/2012/chart" uri="{02D57815-91ED-43cb-92C2-25804820EDAC}">
                        <c15:formulaRef>
                          <c15:sqref>'Breakeven analyse'!$S$91:$S$150</c15:sqref>
                        </c15:formulaRef>
                      </c:ext>
                    </c:extLst>
                    <c:numCache>
                      <c:formatCode>_("€"* #,##0_);_("€"* \(#,##0\);_("€"* "-"_);_(@_)</c:formatCode>
                      <c:ptCount val="60"/>
                      <c:pt idx="0">
                        <c:v>174473.595324839</c:v>
                      </c:pt>
                      <c:pt idx="1">
                        <c:v>174473.595324839</c:v>
                      </c:pt>
                      <c:pt idx="2">
                        <c:v>174473.595324839</c:v>
                      </c:pt>
                      <c:pt idx="3">
                        <c:v>161653.96824340281</c:v>
                      </c:pt>
                      <c:pt idx="4">
                        <c:v>161653.96824340281</c:v>
                      </c:pt>
                      <c:pt idx="5">
                        <c:v>161653.96824340281</c:v>
                      </c:pt>
                      <c:pt idx="6">
                        <c:v>150312.01442444045</c:v>
                      </c:pt>
                      <c:pt idx="7">
                        <c:v>150312.01442444045</c:v>
                      </c:pt>
                      <c:pt idx="8">
                        <c:v>150312.01442444045</c:v>
                      </c:pt>
                      <c:pt idx="9">
                        <c:v>141241.02393915286</c:v>
                      </c:pt>
                      <c:pt idx="10">
                        <c:v>141241.02393915286</c:v>
                      </c:pt>
                      <c:pt idx="11">
                        <c:v>141241.02393915286</c:v>
                      </c:pt>
                      <c:pt idx="12">
                        <c:v>134012.58927846351</c:v>
                      </c:pt>
                      <c:pt idx="13">
                        <c:v>134012.58927846351</c:v>
                      </c:pt>
                      <c:pt idx="14">
                        <c:v>134012.58927846351</c:v>
                      </c:pt>
                      <c:pt idx="15">
                        <c:v>128279.36868963535</c:v>
                      </c:pt>
                      <c:pt idx="16">
                        <c:v>128279.36868963535</c:v>
                      </c:pt>
                      <c:pt idx="17">
                        <c:v>128279.36868963535</c:v>
                      </c:pt>
                      <c:pt idx="18">
                        <c:v>123759.74893556089</c:v>
                      </c:pt>
                      <c:pt idx="19">
                        <c:v>123759.74893556089</c:v>
                      </c:pt>
                      <c:pt idx="20">
                        <c:v>123759.74893556089</c:v>
                      </c:pt>
                      <c:pt idx="21">
                        <c:v>141924.53004138166</c:v>
                      </c:pt>
                      <c:pt idx="22">
                        <c:v>141924.53004138166</c:v>
                      </c:pt>
                      <c:pt idx="23">
                        <c:v>141924.53004138166</c:v>
                      </c:pt>
                      <c:pt idx="24">
                        <c:v>135639.21119481264</c:v>
                      </c:pt>
                      <c:pt idx="25">
                        <c:v>135639.21119481264</c:v>
                      </c:pt>
                      <c:pt idx="26">
                        <c:v>135639.21119481264</c:v>
                      </c:pt>
                      <c:pt idx="27">
                        <c:v>130121.60452152566</c:v>
                      </c:pt>
                      <c:pt idx="28">
                        <c:v>130121.60452152566</c:v>
                      </c:pt>
                      <c:pt idx="29">
                        <c:v>130121.60452152566</c:v>
                      </c:pt>
                      <c:pt idx="30">
                        <c:v>125782.03891494263</c:v>
                      </c:pt>
                      <c:pt idx="31">
                        <c:v>125782.03891494263</c:v>
                      </c:pt>
                      <c:pt idx="32">
                        <c:v>125782.03891494263</c:v>
                      </c:pt>
                      <c:pt idx="33">
                        <c:v>122398.97429187209</c:v>
                      </c:pt>
                      <c:pt idx="34">
                        <c:v>122398.97429187209</c:v>
                      </c:pt>
                      <c:pt idx="35">
                        <c:v>122398.97429187209</c:v>
                      </c:pt>
                      <c:pt idx="36">
                        <c:v>119792.7986134134</c:v>
                      </c:pt>
                      <c:pt idx="37">
                        <c:v>119792.7986134134</c:v>
                      </c:pt>
                      <c:pt idx="38">
                        <c:v>119792.7986134134</c:v>
                      </c:pt>
                      <c:pt idx="39">
                        <c:v>117817.89537548598</c:v>
                      </c:pt>
                      <c:pt idx="40">
                        <c:v>117817.89537548598</c:v>
                      </c:pt>
                      <c:pt idx="41">
                        <c:v>117817.89537548598</c:v>
                      </c:pt>
                      <c:pt idx="42">
                        <c:v>150472.19082790829</c:v>
                      </c:pt>
                      <c:pt idx="43">
                        <c:v>150472.19082790829</c:v>
                      </c:pt>
                      <c:pt idx="44">
                        <c:v>150472.19082790829</c:v>
                      </c:pt>
                      <c:pt idx="45">
                        <c:v>143579.87270739657</c:v>
                      </c:pt>
                      <c:pt idx="46">
                        <c:v>143579.87270739657</c:v>
                      </c:pt>
                      <c:pt idx="47">
                        <c:v>143579.87270739657</c:v>
                      </c:pt>
                      <c:pt idx="48">
                        <c:v>137527.46137090141</c:v>
                      </c:pt>
                      <c:pt idx="49">
                        <c:v>137527.46137090141</c:v>
                      </c:pt>
                      <c:pt idx="50">
                        <c:v>137527.46137090141</c:v>
                      </c:pt>
                      <c:pt idx="51">
                        <c:v>132763.94974258577</c:v>
                      </c:pt>
                      <c:pt idx="52">
                        <c:v>132763.94974258577</c:v>
                      </c:pt>
                      <c:pt idx="53">
                        <c:v>132763.94974258577</c:v>
                      </c:pt>
                      <c:pt idx="54">
                        <c:v>129046.92041490047</c:v>
                      </c:pt>
                      <c:pt idx="55">
                        <c:v>129046.92041490047</c:v>
                      </c:pt>
                      <c:pt idx="56">
                        <c:v>129046.92041490047</c:v>
                      </c:pt>
                      <c:pt idx="57">
                        <c:v>126179.83491100131</c:v>
                      </c:pt>
                      <c:pt idx="58">
                        <c:v>126179.83491100131</c:v>
                      </c:pt>
                      <c:pt idx="59">
                        <c:v>126179.83491100131</c:v>
                      </c:pt>
                    </c:numCache>
                  </c:numRef>
                </c:val>
                <c:extLst xmlns:c15="http://schemas.microsoft.com/office/drawing/2012/chart">
                  <c:ext xmlns:c16="http://schemas.microsoft.com/office/drawing/2014/chart" uri="{C3380CC4-5D6E-409C-BE32-E72D297353CC}">
                    <c16:uniqueId val="{0000000D-8A66-4052-9C01-B8D68A4F2022}"/>
                  </c:ext>
                </c:extLst>
              </c15:ser>
            </c15:filteredBarSeries>
          </c:ext>
        </c:extLst>
      </c:barChart>
      <c:catAx>
        <c:axId val="380565496"/>
        <c:scaling>
          <c:orientation val="minMax"/>
        </c:scaling>
        <c:delete val="0"/>
        <c:axPos val="b"/>
        <c:title>
          <c:tx>
            <c:rich>
              <a:bodyPr rot="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t>year and vehicle (D=diesel; </a:t>
                </a:r>
                <a:r>
                  <a:rPr lang="en-US" sz="900" b="0" i="0" u="none" strike="noStrike" cap="all" baseline="0">
                    <a:effectLst/>
                  </a:rPr>
                  <a:t>E=Electric; F=Fuel Cell</a:t>
                </a:r>
                <a:r>
                  <a:rPr lang="en-US"/>
                  <a:t>)</a:t>
                </a:r>
              </a:p>
            </c:rich>
          </c:tx>
          <c:overlay val="0"/>
          <c:spPr>
            <a:noFill/>
            <a:ln>
              <a:noFill/>
            </a:ln>
            <a:effectLst/>
          </c:spPr>
          <c:txPr>
            <a:bodyPr rot="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nl-N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nl-NL"/>
          </a:p>
        </c:txPr>
        <c:crossAx val="380777152"/>
        <c:crosses val="autoZero"/>
        <c:auto val="1"/>
        <c:lblAlgn val="ctr"/>
        <c:lblOffset val="100"/>
        <c:noMultiLvlLbl val="0"/>
      </c:catAx>
      <c:valAx>
        <c:axId val="380777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t>annual costs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nl-NL"/>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nl-NL"/>
          </a:p>
        </c:txPr>
        <c:crossAx val="38056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nl-NL"/>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nl-NL"/>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tabColor theme="4" tint="0.59999389629810485"/>
  </sheetPr>
  <sheetViews>
    <sheetView zoomScale="68" workbookViewId="0" zoomToFit="1"/>
  </sheetViews>
  <pageMargins left="0.7" right="0.7" top="0.75" bottom="0.75" header="0.3" footer="0.3"/>
  <pageSetup paperSize="9" orientation="portrait"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tabColor rgb="FF00B0F0"/>
  </sheetPr>
  <sheetViews>
    <sheetView zoomScale="81" workbookViewId="0" zoomToFit="1"/>
  </sheetViews>
  <pageMargins left="0.7" right="0.7" top="0.75" bottom="0.75" header="0.3" footer="0.3"/>
  <pageSetup paperSize="9" orientation="portrait" r:id="rId1"/>
  <drawing r:id="rId2"/>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0</xdr:col>
      <xdr:colOff>9523</xdr:colOff>
      <xdr:row>0</xdr:row>
      <xdr:rowOff>0</xdr:rowOff>
    </xdr:from>
    <xdr:to>
      <xdr:col>0</xdr:col>
      <xdr:colOff>1176808</xdr:colOff>
      <xdr:row>8</xdr:row>
      <xdr:rowOff>93600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9715"/>
        <a:stretch/>
      </xdr:blipFill>
      <xdr:spPr>
        <a:xfrm>
          <a:off x="9523" y="0"/>
          <a:ext cx="1167285" cy="10080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238125</xdr:colOff>
          <xdr:row>19</xdr:row>
          <xdr:rowOff>28575</xdr:rowOff>
        </xdr:from>
        <xdr:to>
          <xdr:col>2</xdr:col>
          <xdr:colOff>2000250</xdr:colOff>
          <xdr:row>21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50" b="1" i="0" u="none" strike="noStrike" baseline="0">
                  <a:solidFill>
                    <a:srgbClr val="000000"/>
                  </a:solidFill>
                  <a:latin typeface="Verdana"/>
                  <a:ea typeface="Verdana"/>
                </a:rPr>
                <a:t>Start nieuwe berekening</a:t>
              </a:r>
            </a:p>
          </xdr:txBody>
        </xdr:sp>
        <xdr:clientData fPrintsWithSheet="0"/>
      </xdr:twoCellAnchor>
    </mc:Choice>
    <mc:Fallback/>
  </mc:AlternateContent>
  <xdr:twoCellAnchor>
    <xdr:from>
      <xdr:col>5</xdr:col>
      <xdr:colOff>396240</xdr:colOff>
      <xdr:row>50</xdr:row>
      <xdr:rowOff>127901</xdr:rowOff>
    </xdr:from>
    <xdr:to>
      <xdr:col>6</xdr:col>
      <xdr:colOff>1387669</xdr:colOff>
      <xdr:row>56</xdr:row>
      <xdr:rowOff>86440</xdr:rowOff>
    </xdr:to>
    <xdr:sp macro="" textlink="Config!B143">
      <xdr:nvSpPr>
        <xdr:cNvPr id="5" name="TextBox 4">
          <a:extLst>
            <a:ext uri="{FF2B5EF4-FFF2-40B4-BE49-F238E27FC236}">
              <a16:creationId xmlns:a16="http://schemas.microsoft.com/office/drawing/2014/main" id="{00000000-0008-0000-0100-000005000000}"/>
            </a:ext>
          </a:extLst>
        </xdr:cNvPr>
        <xdr:cNvSpPr txBox="1"/>
      </xdr:nvSpPr>
      <xdr:spPr>
        <a:xfrm>
          <a:off x="11094720" y="7206881"/>
          <a:ext cx="2904049" cy="8653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9BFD1F-5590-4524-B81D-D3A5F5D49C4E}" type="TxLink">
            <a:rPr lang="en-US" sz="900" b="0" i="0" u="none" strike="noStrike">
              <a:solidFill>
                <a:srgbClr val="000000"/>
              </a:solidFill>
              <a:latin typeface="Verdana"/>
              <a:ea typeface="Verdana"/>
              <a:cs typeface="Verdana"/>
            </a:rPr>
            <a:pPr/>
            <a:t>Let op:
Na 2025 kunnen er maatregelen van kracht worden die de economische levensduur van dieselvoertuigen verkorten.</a:t>
          </a:fld>
          <a:endParaRPr lang="en-GB" sz="1200"/>
        </a:p>
      </xdr:txBody>
    </xdr:sp>
    <xdr:clientData/>
  </xdr:twoCellAnchor>
  <xdr:twoCellAnchor editAs="oneCell">
    <xdr:from>
      <xdr:col>7</xdr:col>
      <xdr:colOff>100966</xdr:colOff>
      <xdr:row>9</xdr:row>
      <xdr:rowOff>24765</xdr:rowOff>
    </xdr:from>
    <xdr:to>
      <xdr:col>7</xdr:col>
      <xdr:colOff>1047750</xdr:colOff>
      <xdr:row>10</xdr:row>
      <xdr:rowOff>122265</xdr:rowOff>
    </xdr:to>
    <xdr:sp macro="[0]!SaveToDB" textlink="Config!B4">
      <xdr:nvSpPr>
        <xdr:cNvPr id="6" name="Rectangle: Rounded Corners 5">
          <a:extLst>
            <a:ext uri="{FF2B5EF4-FFF2-40B4-BE49-F238E27FC236}">
              <a16:creationId xmlns:a16="http://schemas.microsoft.com/office/drawing/2014/main" id="{00000000-0008-0000-0100-000006000000}"/>
            </a:ext>
          </a:extLst>
        </xdr:cNvPr>
        <xdr:cNvSpPr/>
      </xdr:nvSpPr>
      <xdr:spPr>
        <a:xfrm>
          <a:off x="13407391" y="1234440"/>
          <a:ext cx="946784" cy="288000"/>
        </a:xfrm>
        <a:prstGeom prst="round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fld id="{8D00C644-0BBC-4F1D-99A1-6AB79FBE0FFF}" type="TxLink">
            <a:rPr lang="en-US" sz="850" b="0" i="0" u="none" strike="noStrike">
              <a:solidFill>
                <a:srgbClr val="000000"/>
              </a:solidFill>
              <a:effectLst/>
              <a:latin typeface="Verdana"/>
              <a:ea typeface="Verdana"/>
            </a:rPr>
            <a:pPr algn="ctr"/>
            <a:t>Opslaan</a:t>
          </a:fld>
          <a:endParaRPr lang="en-US" sz="1100" b="1">
            <a:solidFill>
              <a:sysClr val="windowText" lastClr="000000"/>
            </a:solidFill>
            <a:effectLst/>
          </a:endParaRPr>
        </a:p>
      </xdr:txBody>
    </xdr:sp>
    <xdr:clientData/>
  </xdr:twoCellAnchor>
  <xdr:twoCellAnchor>
    <xdr:from>
      <xdr:col>5</xdr:col>
      <xdr:colOff>396240</xdr:colOff>
      <xdr:row>60</xdr:row>
      <xdr:rowOff>24593</xdr:rowOff>
    </xdr:from>
    <xdr:to>
      <xdr:col>6</xdr:col>
      <xdr:colOff>1387669</xdr:colOff>
      <xdr:row>68</xdr:row>
      <xdr:rowOff>23747</xdr:rowOff>
    </xdr:to>
    <xdr:sp macro="" textlink="Config!B144">
      <xdr:nvSpPr>
        <xdr:cNvPr id="7" name="TextBox 6">
          <a:extLst>
            <a:ext uri="{FF2B5EF4-FFF2-40B4-BE49-F238E27FC236}">
              <a16:creationId xmlns:a16="http://schemas.microsoft.com/office/drawing/2014/main" id="{00000000-0008-0000-0100-000007000000}"/>
            </a:ext>
          </a:extLst>
        </xdr:cNvPr>
        <xdr:cNvSpPr txBox="1"/>
      </xdr:nvSpPr>
      <xdr:spPr>
        <a:xfrm>
          <a:off x="11094720" y="8574233"/>
          <a:ext cx="2904049" cy="1119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A7021B-1BD2-48FB-A7B5-C858C0C1B6EF}" type="TxLink">
            <a:rPr lang="en-US" sz="900" b="0" i="0" u="none" strike="noStrike">
              <a:solidFill>
                <a:srgbClr val="000000"/>
              </a:solidFill>
              <a:latin typeface="Verdana"/>
              <a:ea typeface="Verdana"/>
              <a:cs typeface="Verdana"/>
            </a:rPr>
            <a:pPr/>
            <a:t>Let op:   
Het verdienen van HBE’s is aan strenge regels onderworpen.  
Er wordt 2.000 euro per jaar in rekening gebracht voor kosten die gemaakt moeten worden om HBE's te innen.
</a:t>
          </a:fld>
          <a:endParaRPr lang="en-GB" sz="1200"/>
        </a:p>
      </xdr:txBody>
    </xdr:sp>
    <xdr:clientData/>
  </xdr:twoCellAnchor>
  <xdr:twoCellAnchor>
    <xdr:from>
      <xdr:col>5</xdr:col>
      <xdr:colOff>396240</xdr:colOff>
      <xdr:row>71</xdr:row>
      <xdr:rowOff>99060</xdr:rowOff>
    </xdr:from>
    <xdr:to>
      <xdr:col>6</xdr:col>
      <xdr:colOff>1387669</xdr:colOff>
      <xdr:row>76</xdr:row>
      <xdr:rowOff>61806</xdr:rowOff>
    </xdr:to>
    <xdr:sp macro="" textlink="Config!B145">
      <xdr:nvSpPr>
        <xdr:cNvPr id="8" name="TextBox 7">
          <a:extLst>
            <a:ext uri="{FF2B5EF4-FFF2-40B4-BE49-F238E27FC236}">
              <a16:creationId xmlns:a16="http://schemas.microsoft.com/office/drawing/2014/main" id="{00000000-0008-0000-0100-000008000000}"/>
            </a:ext>
          </a:extLst>
        </xdr:cNvPr>
        <xdr:cNvSpPr txBox="1"/>
      </xdr:nvSpPr>
      <xdr:spPr>
        <a:xfrm>
          <a:off x="11094720" y="10195560"/>
          <a:ext cx="2904049" cy="6485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2697CD-6C3F-4256-8CA0-00033D8F1038}" type="TxLink">
            <a:rPr lang="en-US" sz="900" b="0" i="0" u="none" strike="noStrike">
              <a:solidFill>
                <a:srgbClr val="000000"/>
              </a:solidFill>
              <a:latin typeface="Verdana"/>
              <a:ea typeface="Verdana"/>
              <a:cs typeface="Verdana"/>
            </a:rPr>
            <a:pPr/>
            <a:t>Let op:   
Het budget van de AanZET-subsidie voor het jaar 2022 is reeds uitgeput.  
</a:t>
          </a:fld>
          <a:endParaRPr lang="en-GB" sz="900"/>
        </a:p>
      </xdr:txBody>
    </xdr:sp>
    <xdr:clientData/>
  </xdr:twoCellAnchor>
  <xdr:twoCellAnchor editAs="oneCell">
    <xdr:from>
      <xdr:col>5</xdr:col>
      <xdr:colOff>581027</xdr:colOff>
      <xdr:row>0</xdr:row>
      <xdr:rowOff>0</xdr:rowOff>
    </xdr:from>
    <xdr:to>
      <xdr:col>6</xdr:col>
      <xdr:colOff>1794905</xdr:colOff>
      <xdr:row>8</xdr:row>
      <xdr:rowOff>93600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391902" y="0"/>
          <a:ext cx="3071253" cy="100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absoluteAnchor>
    <xdr:pos x="0" y="0"/>
    <xdr:ext cx="4118162" cy="6153897"/>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6161852" cy="9219259"/>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9</xdr:col>
      <xdr:colOff>144779</xdr:colOff>
      <xdr:row>23</xdr:row>
      <xdr:rowOff>7620</xdr:rowOff>
    </xdr:from>
    <xdr:to>
      <xdr:col>11</xdr:col>
      <xdr:colOff>84150</xdr:colOff>
      <xdr:row>46</xdr:row>
      <xdr:rowOff>137160</xdr:rowOff>
    </xdr:to>
    <xdr:sp macro="" textlink="">
      <xdr:nvSpPr>
        <xdr:cNvPr id="2" name="Right Brace 1">
          <a:extLst>
            <a:ext uri="{FF2B5EF4-FFF2-40B4-BE49-F238E27FC236}">
              <a16:creationId xmlns:a16="http://schemas.microsoft.com/office/drawing/2014/main" id="{00000000-0008-0000-0F00-000002000000}"/>
            </a:ext>
          </a:extLst>
        </xdr:cNvPr>
        <xdr:cNvSpPr/>
      </xdr:nvSpPr>
      <xdr:spPr>
        <a:xfrm>
          <a:off x="10031729" y="1493520"/>
          <a:ext cx="1806271" cy="3263265"/>
        </a:xfrm>
        <a:prstGeom prst="rightBrace">
          <a:avLst>
            <a:gd name="adj1" fmla="val 8333"/>
            <a:gd name="adj2" fmla="val 51090"/>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11</xdr:col>
      <xdr:colOff>9939</xdr:colOff>
      <xdr:row>33</xdr:row>
      <xdr:rowOff>17560</xdr:rowOff>
    </xdr:from>
    <xdr:to>
      <xdr:col>12</xdr:col>
      <xdr:colOff>711642</xdr:colOff>
      <xdr:row>38</xdr:row>
      <xdr:rowOff>2320</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11763789" y="2856010"/>
          <a:ext cx="1663728" cy="6610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Input 1</a:t>
          </a:r>
          <a:r>
            <a:rPr lang="en-GB" sz="1100" baseline="0"/>
            <a:t>:</a:t>
          </a:r>
        </a:p>
        <a:p>
          <a:r>
            <a:rPr lang="en-GB" sz="1100" baseline="0"/>
            <a:t>basisgegevens kosten per laadpaal</a:t>
          </a:r>
          <a:endParaRPr lang="en-GB" sz="1100"/>
        </a:p>
      </xdr:txBody>
    </xdr:sp>
    <xdr:clientData/>
  </xdr:twoCellAnchor>
  <xdr:twoCellAnchor>
    <xdr:from>
      <xdr:col>12</xdr:col>
      <xdr:colOff>60960</xdr:colOff>
      <xdr:row>51</xdr:row>
      <xdr:rowOff>7620</xdr:rowOff>
    </xdr:from>
    <xdr:to>
      <xdr:col>12</xdr:col>
      <xdr:colOff>403860</xdr:colOff>
      <xdr:row>53</xdr:row>
      <xdr:rowOff>129540</xdr:rowOff>
    </xdr:to>
    <xdr:sp macro="" textlink="">
      <xdr:nvSpPr>
        <xdr:cNvPr id="4" name="Right Brace 3">
          <a:extLst>
            <a:ext uri="{FF2B5EF4-FFF2-40B4-BE49-F238E27FC236}">
              <a16:creationId xmlns:a16="http://schemas.microsoft.com/office/drawing/2014/main" id="{00000000-0008-0000-0F00-000004000000}"/>
            </a:ext>
          </a:extLst>
        </xdr:cNvPr>
        <xdr:cNvSpPr/>
      </xdr:nvSpPr>
      <xdr:spPr>
        <a:xfrm>
          <a:off x="12776835" y="4762500"/>
          <a:ext cx="342900" cy="0"/>
        </a:xfrm>
        <a:prstGeom prst="rightBrace">
          <a:avLst>
            <a:gd name="adj1" fmla="val 8333"/>
            <a:gd name="adj2" fmla="val 49238"/>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12</xdr:col>
      <xdr:colOff>556260</xdr:colOff>
      <xdr:row>49</xdr:row>
      <xdr:rowOff>129540</xdr:rowOff>
    </xdr:from>
    <xdr:to>
      <xdr:col>14</xdr:col>
      <xdr:colOff>304800</xdr:colOff>
      <xdr:row>55</xdr:row>
      <xdr:rowOff>30480</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13272135" y="4762500"/>
          <a:ext cx="1129665"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Input 2</a:t>
          </a:r>
          <a:r>
            <a:rPr lang="en-GB" sz="1100" baseline="0"/>
            <a:t>:</a:t>
          </a:r>
        </a:p>
        <a:p>
          <a:r>
            <a:rPr lang="en-GB" sz="1100" baseline="0"/>
            <a:t>basisgegevens</a:t>
          </a:r>
        </a:p>
        <a:p>
          <a:r>
            <a:rPr lang="en-GB" sz="1100" baseline="0"/>
            <a:t>verbruik</a:t>
          </a:r>
          <a:endParaRPr lang="en-GB" sz="1100"/>
        </a:p>
      </xdr:txBody>
    </xdr:sp>
    <xdr:clientData/>
  </xdr:twoCellAnchor>
  <xdr:twoCellAnchor>
    <xdr:from>
      <xdr:col>12</xdr:col>
      <xdr:colOff>60960</xdr:colOff>
      <xdr:row>59</xdr:row>
      <xdr:rowOff>15240</xdr:rowOff>
    </xdr:from>
    <xdr:to>
      <xdr:col>12</xdr:col>
      <xdr:colOff>403860</xdr:colOff>
      <xdr:row>61</xdr:row>
      <xdr:rowOff>121920</xdr:rowOff>
    </xdr:to>
    <xdr:sp macro="" textlink="">
      <xdr:nvSpPr>
        <xdr:cNvPr id="6" name="Right Brace 5">
          <a:extLst>
            <a:ext uri="{FF2B5EF4-FFF2-40B4-BE49-F238E27FC236}">
              <a16:creationId xmlns:a16="http://schemas.microsoft.com/office/drawing/2014/main" id="{00000000-0008-0000-0F00-000006000000}"/>
            </a:ext>
          </a:extLst>
        </xdr:cNvPr>
        <xdr:cNvSpPr/>
      </xdr:nvSpPr>
      <xdr:spPr>
        <a:xfrm>
          <a:off x="12776835" y="4762500"/>
          <a:ext cx="342900" cy="0"/>
        </a:xfrm>
        <a:prstGeom prst="rightBrace">
          <a:avLst>
            <a:gd name="adj1" fmla="val 8333"/>
            <a:gd name="adj2" fmla="val 49238"/>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12</xdr:col>
      <xdr:colOff>594360</xdr:colOff>
      <xdr:row>57</xdr:row>
      <xdr:rowOff>83820</xdr:rowOff>
    </xdr:from>
    <xdr:to>
      <xdr:col>14</xdr:col>
      <xdr:colOff>342900</xdr:colOff>
      <xdr:row>62</xdr:row>
      <xdr:rowOff>91440</xdr:rowOff>
    </xdr:to>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13310235" y="4762500"/>
          <a:ext cx="1129665"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Output</a:t>
          </a:r>
          <a:r>
            <a:rPr lang="en-GB" sz="1100" baseline="0"/>
            <a:t>:</a:t>
          </a:r>
        </a:p>
        <a:p>
          <a:r>
            <a:rPr lang="en-GB" sz="1100" baseline="0"/>
            <a:t>kostprijs per kWh</a:t>
          </a:r>
          <a:endParaRPr lang="en-GB" sz="1100"/>
        </a:p>
      </xdr:txBody>
    </xdr:sp>
    <xdr:clientData/>
  </xdr:twoCellAnchor>
  <xdr:twoCellAnchor>
    <xdr:from>
      <xdr:col>9</xdr:col>
      <xdr:colOff>175260</xdr:colOff>
      <xdr:row>63</xdr:row>
      <xdr:rowOff>24185</xdr:rowOff>
    </xdr:from>
    <xdr:to>
      <xdr:col>10</xdr:col>
      <xdr:colOff>750735</xdr:colOff>
      <xdr:row>80</xdr:row>
      <xdr:rowOff>62285</xdr:rowOff>
    </xdr:to>
    <xdr:sp macro="" textlink="">
      <xdr:nvSpPr>
        <xdr:cNvPr id="8" name="Right Brace 7">
          <a:extLst>
            <a:ext uri="{FF2B5EF4-FFF2-40B4-BE49-F238E27FC236}">
              <a16:creationId xmlns:a16="http://schemas.microsoft.com/office/drawing/2014/main" id="{00000000-0008-0000-0F00-000008000000}"/>
            </a:ext>
          </a:extLst>
        </xdr:cNvPr>
        <xdr:cNvSpPr/>
      </xdr:nvSpPr>
      <xdr:spPr>
        <a:xfrm>
          <a:off x="10062210" y="4786685"/>
          <a:ext cx="1575600" cy="1905000"/>
        </a:xfrm>
        <a:prstGeom prst="rightBrace">
          <a:avLst>
            <a:gd name="adj1" fmla="val 8333"/>
            <a:gd name="adj2" fmla="val 53036"/>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11</xdr:col>
      <xdr:colOff>0</xdr:colOff>
      <xdr:row>71</xdr:row>
      <xdr:rowOff>79845</xdr:rowOff>
    </xdr:from>
    <xdr:to>
      <xdr:col>12</xdr:col>
      <xdr:colOff>98066</xdr:colOff>
      <xdr:row>76</xdr:row>
      <xdr:rowOff>72224</xdr:rowOff>
    </xdr:to>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1753850" y="5509095"/>
          <a:ext cx="1060091" cy="6591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Input 2</a:t>
          </a:r>
          <a:r>
            <a:rPr lang="en-GB" sz="1100" baseline="0"/>
            <a:t>:</a:t>
          </a:r>
        </a:p>
        <a:p>
          <a:r>
            <a:rPr lang="en-GB" sz="1100" baseline="0"/>
            <a:t>basisgegevens capaciteit</a:t>
          </a:r>
          <a:endParaRPr lang="en-GB"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Goederenvervoer%20en%20Infrastructuur\10691%20Onderhoud%20en%20beheer%20TCO%20Vracht\TCO-versies\TCO-ZET-Vracht%20v3.0%20versie%2017-5-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hteo/OneDrive%20-%20Panteia/01_Panteia/TCO/01_Data%20June%202021/20201345_Rekenmodel%20business%20case%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Output Module"/>
      <sheetName val="Breakeven-analyse"/>
      <sheetName val="Vergelijking Data"/>
      <sheetName val="Readme"/>
      <sheetName val="Breakeven-analyse - bar"/>
      <sheetName val="Calculatie"/>
      <sheetName val="subsidie"/>
      <sheetName val="AanZET MIA"/>
      <sheetName val="Database"/>
      <sheetName val="Breakeven analyse"/>
      <sheetName val="dynamic"/>
      <sheetName val="Model parameters"/>
      <sheetName val="extern"/>
      <sheetName val="kostenmodel laadplein"/>
    </sheetNames>
    <sheetDataSet>
      <sheetData sheetId="0"/>
      <sheetData sheetId="1" refreshError="1"/>
      <sheetData sheetId="2" refreshError="1"/>
      <sheetData sheetId="3" refreshError="1"/>
      <sheetData sheetId="4" refreshError="1"/>
      <sheetData sheetId="5">
        <row r="75">
          <cell r="B75">
            <v>0</v>
          </cell>
        </row>
      </sheetData>
      <sheetData sheetId="6"/>
      <sheetData sheetId="7" refreshError="1"/>
      <sheetData sheetId="8" refreshError="1"/>
      <sheetData sheetId="9">
        <row r="90">
          <cell r="F90" t="str">
            <v>Investment</v>
          </cell>
        </row>
      </sheetData>
      <sheetData sheetId="10" refreshError="1"/>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SCENARIOS"/>
      <sheetName val="RESULTS"/>
      <sheetName val="calculatie"/>
      <sheetName val="variabelen"/>
      <sheetName val="kostenmodel laadplein"/>
    </sheetNames>
    <sheetDataSet>
      <sheetData sheetId="0"/>
      <sheetData sheetId="1"/>
      <sheetData sheetId="2"/>
      <sheetData sheetId="3"/>
      <sheetData sheetId="4">
        <row r="24">
          <cell r="C24">
            <v>10</v>
          </cell>
        </row>
      </sheetData>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ASIS_INVOERGEGEVENS" displayName="BASIS_INVOERGEGEVENS" ref="A1:I17" totalsRowShown="0">
  <autoFilter ref="A1:I17" xr:uid="{00000000-0009-0000-0100-000001000000}"/>
  <tableColumns count="9">
    <tableColumn id="1" xr3:uid="{00000000-0010-0000-0000-000001000000}" name="Optie"/>
    <tableColumn id="2" xr3:uid="{00000000-0010-0000-0000-000002000000}" name="Voertuigtype"/>
    <tableColumn id="3" xr3:uid="{00000000-0010-0000-0000-000003000000}" name="Koelmachine (J/N)"/>
    <tableColumn id="4" xr3:uid="{00000000-0010-0000-0000-000004000000}" name="Verwacht jaarkilometrage" dataDxfId="24"/>
    <tableColumn id="5" xr3:uid="{00000000-0010-0000-0000-000005000000}" name="Grijze/groene elektriciciteit"/>
    <tableColumn id="6" xr3:uid="{00000000-0010-0000-0000-000006000000}" name="Grijze/groene waterstof"/>
    <tableColumn id="7" xr3:uid="{00000000-0010-0000-0000-000007000000}" name="Rechtsvorm en belastingpercentage"/>
    <tableColumn id="9" xr3:uid="{00000000-0010-0000-0000-000009000000}" name="Basisjaar prognose" dataDxfId="23">
      <calculatedColumnFormula>YEAR(NOW())</calculatedColumnFormula>
    </tableColumn>
    <tableColumn id="10" xr3:uid="{00000000-0010-0000-0000-00000A000000}" name="Grootte van bedrijf"/>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INZETGEGEVENS_VOERTUIG_SYSTEM" displayName="INZETGEGEVENS_VOERTUIG_SYSTEM" ref="A20:D23" totalsRowShown="0">
  <autoFilter ref="A20:D23" xr:uid="{00000000-0009-0000-0100-000002000000}"/>
  <tableColumns count="4">
    <tableColumn id="1" xr3:uid="{00000000-0010-0000-0100-000001000000}" name="Attribuut"/>
    <tableColumn id="2" xr3:uid="{00000000-0010-0000-0100-000002000000}" name=" Dieselvoertuig"/>
    <tableColumn id="3" xr3:uid="{00000000-0010-0000-0100-000003000000}" name=" Elektrisch voertuig "/>
    <tableColumn id="4" xr3:uid="{00000000-0010-0000-0100-000004000000}" name="Waterstof voertuig"/>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VehicleCatalogus" displayName="VehicleCatalogus" ref="A2:R32" totalsRowShown="0">
  <autoFilter ref="A2:R32" xr:uid="{00000000-0009-0000-0100-000003000000}"/>
  <tableColumns count="18">
    <tableColumn id="1" xr3:uid="{00000000-0010-0000-0200-000001000000}" name="ID"/>
    <tableColumn id="16" xr3:uid="{00000000-0010-0000-0200-000010000000}" name="Veh. Type"/>
    <tableColumn id="2" xr3:uid="{00000000-0010-0000-0200-000002000000}" name="Veh. Type ID"/>
    <tableColumn id="3" xr3:uid="{00000000-0010-0000-0200-000003000000}" name="Fuel"/>
    <tableColumn id="4" xr3:uid="{00000000-0010-0000-0200-000004000000}" name="Variant ID"/>
    <tableColumn id="5" xr3:uid="{00000000-0010-0000-0200-000005000000}" name="Name"/>
    <tableColumn id="6" xr3:uid="{00000000-0010-0000-0200-000006000000}" name="Energy unit"/>
    <tableColumn id="7" xr3:uid="{00000000-0010-0000-0200-000007000000}" name="Veh. Price" dataDxfId="22" dataCellStyle="Currency">
      <calculatedColumnFormula>VLOOKUP(VehicleCatalogus[[#This Row],[Name]],Indexatie!$C:$D,2,FALSE)</calculatedColumnFormula>
    </tableColumn>
    <tableColumn id="8" xr3:uid="{00000000-0010-0000-0200-000008000000}" name="Energy/fuel consumption L; kWh; kg H2"/>
    <tableColumn id="9" xr3:uid="{00000000-0010-0000-0200-000009000000}" name="Refrigeration energy/fuel consumption L; kWh; kg H2"/>
    <tableColumn id="10" xr3:uid="{00000000-0010-0000-0200-00000A000000}" name="Maintenance costs" dataCellStyle="Currency"/>
    <tableColumn id="11" xr3:uid="{00000000-0010-0000-0200-00000B000000}" name="Road tax" dataCellStyle="Currency"/>
    <tableColumn id="12" xr3:uid="{00000000-0010-0000-0200-00000C000000}" name="Tolheffing" dataCellStyle="Currency"/>
    <tableColumn id="13" xr3:uid="{00000000-0010-0000-0200-00000D000000}" name="Battery size"/>
    <tableColumn id="14" xr3:uid="{00000000-0010-0000-0200-00000E000000}" name="FC power"/>
    <tableColumn id="15" xr3:uid="{00000000-0010-0000-0200-00000F000000}" name="H2 Storage tanks"/>
    <tableColumn id="17" xr3:uid="{00000000-0010-0000-0200-000011000000}" name="Jaarlijkse reparaties" dataDxfId="21" dataCellStyle="Currency"/>
    <tableColumn id="18" xr3:uid="{00000000-0010-0000-0200-000012000000}" name="Koeling" dataDxfId="20" dataCellStyle="Currency">
      <calculatedColumnFormula>IFERROR(INDEX(Indexatie!$E:$E,MATCH(CONCATENATE(Config!$B$245," ",VehicleCatalogus[[#This Row],[Veh. Type]]),Indexatie!$C:$C,0)),0)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erprijsFC" displayName="MeerprijsFC" ref="S30:U32" totalsRowShown="0">
  <autoFilter ref="S30:U32" xr:uid="{00000000-0009-0000-0100-000005000000}"/>
  <tableColumns count="3">
    <tableColumn id="1" xr3:uid="{00000000-0010-0000-0300-000001000000}" name="Attribuut"/>
    <tableColumn id="2" xr3:uid="{00000000-0010-0000-0300-000002000000}" name="Unit"/>
    <tableColumn id="3" xr3:uid="{00000000-0010-0000-0300-000003000000}" name="meerpijs/unit"/>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Laadinfra" displayName="Laadinfra" ref="A36:L41" totalsRowShown="0">
  <autoFilter ref="A36:L41" xr:uid="{00000000-0009-0000-0100-000006000000}"/>
  <sortState ref="A32:M36">
    <sortCondition descending="1" ref="E32:E36"/>
  </sortState>
  <tableColumns count="12">
    <tableColumn id="1" xr3:uid="{00000000-0010-0000-0400-000001000000}" name="Index"/>
    <tableColumn id="2" xr3:uid="{00000000-0010-0000-0400-000002000000}" name="Charging type"/>
    <tableColumn id="3" xr3:uid="{00000000-0010-0000-0400-000003000000}" name="Power"/>
    <tableColumn id="4" xr3:uid="{00000000-0010-0000-0400-000004000000}" name="Land type"/>
    <tableColumn id="5" xr3:uid="{00000000-0010-0000-0400-000005000000}" name="Power (kW)"/>
    <tableColumn id="6" xr3:uid="{00000000-0010-0000-0400-000006000000}" name="Depth of discharge (%)"/>
    <tableColumn id="7" xr3:uid="{00000000-0010-0000-0400-000007000000}" name="Efficiency (%)"/>
    <tableColumn id="8" xr3:uid="{00000000-0010-0000-0400-000008000000}" name="Purchase &amp; installation (€) " dataCellStyle="Currency">
      <calculatedColumnFormula>Laadinfra[[#This Row],[Purchase (€)]]+Laadinfra[[#This Row],[Installation costs (€)]]</calculatedColumnFormula>
    </tableColumn>
    <tableColumn id="9" xr3:uid="{00000000-0010-0000-0400-000009000000}" name="Purchase (€)" dataCellStyle="Currency"/>
    <tableColumn id="10" xr3:uid="{00000000-0010-0000-0400-00000A000000}" name="Installation costs (€)" dataCellStyle="Currency"/>
    <tableColumn id="11" xr3:uid="{00000000-0010-0000-0400-00000B000000}" name="Operational costs annual (€)" dataDxfId="19"/>
    <tableColumn id="12" xr3:uid="{00000000-0010-0000-0400-00000C000000}" name="Own energy costs (€)" dataDxfId="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Laadinfra8" displayName="Laadinfra8" ref="A44:L49" totalsRowShown="0">
  <autoFilter ref="A44:L49" xr:uid="{00000000-0009-0000-0100-000007000000}"/>
  <sortState ref="A40:M44">
    <sortCondition descending="1" ref="E40:E44"/>
  </sortState>
  <tableColumns count="12">
    <tableColumn id="1" xr3:uid="{00000000-0010-0000-0500-000001000000}" name="Index"/>
    <tableColumn id="2" xr3:uid="{00000000-0010-0000-0500-000002000000}" name="Charging type"/>
    <tableColumn id="3" xr3:uid="{00000000-0010-0000-0500-000003000000}" name="Power"/>
    <tableColumn id="4" xr3:uid="{00000000-0010-0000-0500-000004000000}" name="Land type"/>
    <tableColumn id="5" xr3:uid="{00000000-0010-0000-0500-000005000000}" name="Power (kW)"/>
    <tableColumn id="6" xr3:uid="{00000000-0010-0000-0500-000006000000}" name="Depth of discharge (%)"/>
    <tableColumn id="7" xr3:uid="{00000000-0010-0000-0500-000007000000}" name="Efficiency (%)"/>
    <tableColumn id="8" xr3:uid="{00000000-0010-0000-0500-000008000000}" name="Purchase &amp; installation (€) " dataCellStyle="Currency">
      <calculatedColumnFormula>Laadinfra8[[#This Row],[Purchase (€)]]+Laadinfra8[[#This Row],[Installation costs (€)]]</calculatedColumnFormula>
    </tableColumn>
    <tableColumn id="9" xr3:uid="{00000000-0010-0000-0500-000009000000}" name="Purchase (€)" dataDxfId="17"/>
    <tableColumn id="10" xr3:uid="{00000000-0010-0000-0500-00000A000000}" name="Installation costs (€)" dataDxfId="16"/>
    <tableColumn id="11" xr3:uid="{00000000-0010-0000-0500-00000B000000}" name="Operational costs annual (€)" dataDxfId="15"/>
    <tableColumn id="13" xr3:uid="{00000000-0010-0000-0500-00000D000000}" name="External energy costs (€)" dataDxfId="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Misc_Ops_Parameters" displayName="Misc_Ops_Parameters" ref="A52:H57" totalsRowShown="0">
  <autoFilter ref="A52:H57" xr:uid="{00000000-0009-0000-0100-00000C000000}"/>
  <tableColumns count="8">
    <tableColumn id="1" xr3:uid="{00000000-0010-0000-0600-000001000000}" name="Veh. Type ID"/>
    <tableColumn id="2" xr3:uid="{00000000-0010-0000-0600-000002000000}" name="Vehicle type"/>
    <tableColumn id="3" xr3:uid="{00000000-0010-0000-0600-000003000000}" name="PM_wear from tires"/>
    <tableColumn id="4" xr3:uid="{00000000-0010-0000-0600-000004000000}" name="Tires cost (€/km)" dataCellStyle="Currency"/>
    <tableColumn id="5" xr3:uid="{00000000-0010-0000-0600-000005000000}" name="Misc. vehicle cost" dataCellStyle="Currency"/>
    <tableColumn id="6" xr3:uid="{00000000-0010-0000-0600-000006000000}" name="Special transport costs" dataCellStyle="Currency"/>
    <tableColumn id="7" xr3:uid="{00000000-0010-0000-0600-000007000000}" name="Refrigeration maintenance cost" dataCellStyle="Currency"/>
    <tableColumn id="8" xr3:uid="{00000000-0010-0000-0600-000008000000}" name="Eurovignet" dataCellStyle="Currency"/>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A3:C6" totalsRowShown="0">
  <autoFilter ref="A3:C6" xr:uid="{00000000-0009-0000-0100-000008000000}"/>
  <tableColumns count="3">
    <tableColumn id="1" xr3:uid="{00000000-0010-0000-0700-000001000000}" name="Omvang bedrijf" dataDxfId="13" dataCellStyle="Normal 5"/>
    <tableColumn id="2" xr3:uid="{00000000-0010-0000-0700-000002000000}" name="Maximale steun (% van meerprijs)" dataCellStyle="Percent"/>
    <tableColumn id="3" xr3:uid="{00000000-0010-0000-0700-000003000000}" name="Toelichting" dataDxfId="12" dataCellStyle="Normal 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A9:B14" totalsRowShown="0">
  <autoFilter ref="A9:B14" xr:uid="{00000000-0009-0000-0100-000009000000}"/>
  <tableColumns count="2">
    <tableColumn id="1" xr3:uid="{00000000-0010-0000-0800-000001000000}" name="Voertuigtype" dataDxfId="11"/>
    <tableColumn id="2" xr3:uid="{00000000-0010-0000-0800-000002000000}" name="AanZET categorie"/>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Table13" displayName="Table13" ref="A16:D20" totalsRowShown="0">
  <autoFilter ref="A16:D20" xr:uid="{00000000-0009-0000-0100-00000D000000}"/>
  <tableColumns count="4">
    <tableColumn id="1" xr3:uid="{00000000-0010-0000-0900-000001000000}" name="Belastingsklasse"/>
    <tableColumn id="2" xr3:uid="{00000000-0010-0000-0900-000002000000}" name="Procent" dataDxfId="10" dataCellStyle="Percent"/>
    <tableColumn id="3" xr3:uid="{00000000-0010-0000-0900-000003000000}" name="Bovengrens Fiscale winst" dataCellStyle="Currency"/>
    <tableColumn id="4" xr3:uid="{00000000-0010-0000-0900-000004000000}" name="Gebruikte fiscale winst voor berekening" dataCellStyle="Currency"/>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Table14" displayName="Table14" ref="D9:F11" totalsRowShown="0">
  <autoFilter ref="D9:F11" xr:uid="{00000000-0009-0000-0100-00000E000000}"/>
  <tableColumns count="3">
    <tableColumn id="1" xr3:uid="{00000000-0010-0000-0A00-000001000000}" name="Jaartal"/>
    <tableColumn id="2" xr3:uid="{00000000-0010-0000-0A00-000002000000}" name="MIA %" dataDxfId="9"/>
    <tableColumn id="3" xr3:uid="{00000000-0010-0000-0A00-000003000000}" name="Min. Investering" dataDxfId="8" dataCellStyle="Currency"/>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Table15" displayName="Table15" ref="H4:K13" totalsRowShown="0">
  <autoFilter ref="H4:K13" xr:uid="{00000000-0009-0000-0100-00000F000000}"/>
  <tableColumns count="4">
    <tableColumn id="1" xr3:uid="{00000000-0010-0000-0B00-000001000000}" name="AanZET categorie"/>
    <tableColumn id="2" xr3:uid="{00000000-0010-0000-0B00-000002000000}" name="Omvang bedrijf"/>
    <tableColumn id="3" xr3:uid="{00000000-0010-0000-0B00-000003000000}" name="Max. steun [%]" dataCellStyle="Percent"/>
    <tableColumn id="4" xr3:uid="{00000000-0010-0000-0B00-000004000000}" name="Max. steun [€]" dataDxfId="7" dataCellStyle="Currency"/>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Deprciation" displayName="Deprciation" ref="A81:D93" totalsRowShown="0">
  <autoFilter ref="A81:D93" xr:uid="{00000000-0009-0000-0100-000004000000}"/>
  <tableColumns count="4">
    <tableColumn id="1" xr3:uid="{00000000-0010-0000-0C00-000001000000}" name="Age"/>
    <tableColumn id="2" xr3:uid="{00000000-0010-0000-0C00-000002000000}" name="Percentage of value of new vehicle price (%)" dataDxfId="6" dataCellStyle="Percent 2"/>
    <tableColumn id="3" xr3:uid="{00000000-0010-0000-0C00-000003000000}" name="Annual depreciation in percentage of new vehicle (%)"/>
    <tableColumn id="4" xr3:uid="{00000000-0010-0000-0C00-000004000000}" name="Depreciation"/>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D000000}" name="H2_Fuel_Price" displayName="H2_Fuel_Price" ref="A60:B64" totalsRowShown="0">
  <autoFilter ref="A60:B64" xr:uid="{00000000-0009-0000-0100-00000A000000}"/>
  <tableColumns count="2">
    <tableColumn id="1" xr3:uid="{00000000-0010-0000-0D00-000001000000}" name="Type">
      <calculatedColumnFormula>Config!B6</calculatedColumnFormula>
    </tableColumn>
    <tableColumn id="2" xr3:uid="{00000000-0010-0000-0D00-000002000000}" name="Fuel costs (€/kg)">
      <calculatedColumnFormula>INDEX(Indexatie!$D:$D,MATCH(H2_Fuel_Price[[#This Row],[Type]],Indexatie!$C:$C,0))</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Fuel_Emission_factors" displayName="Fuel_Emission_factors" ref="A67:F78" totalsRowShown="0">
  <autoFilter ref="A67:F78" xr:uid="{00000000-0009-0000-0100-00000B000000}"/>
  <tableColumns count="6">
    <tableColumn id="1" xr3:uid="{00000000-0010-0000-0E00-000001000000}" name="Fuel category ID"/>
    <tableColumn id="2" xr3:uid="{00000000-0010-0000-0E00-000002000000}" name="Fuel type / Vehicle type"/>
    <tableColumn id="3" xr3:uid="{00000000-0010-0000-0E00-000003000000}" name="Unit"/>
    <tableColumn id="4" xr3:uid="{00000000-0010-0000-0E00-000004000000}" name="CO2-eq (kg per unit)"/>
    <tableColumn id="5" xr3:uid="{00000000-0010-0000-0E00-000005000000}" name="PM10 combustion (g per unit)"/>
    <tableColumn id="6" xr3:uid="{00000000-0010-0000-0E00-000006000000}" name="NOx (g per unit)"/>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Charging_system_table1114" displayName="Charging_system_table1114" ref="A3:M13" totalsRowShown="0" headerRowDxfId="3">
  <autoFilter ref="A3:M13" xr:uid="{00000000-0009-0000-0100-000010000000}"/>
  <tableColumns count="13">
    <tableColumn id="1" xr3:uid="{00000000-0010-0000-0F00-000001000000}" name="Index"/>
    <tableColumn id="2" xr3:uid="{00000000-0010-0000-0F00-000002000000}" name="Charging type"/>
    <tableColumn id="3" xr3:uid="{00000000-0010-0000-0F00-000003000000}" name="Power" dataDxfId="2"/>
    <tableColumn id="4" xr3:uid="{00000000-0010-0000-0F00-000004000000}" name="Land type"/>
    <tableColumn id="14" xr3:uid="{00000000-0010-0000-0F00-00000E000000}" name="Column1"/>
    <tableColumn id="5" xr3:uid="{00000000-0010-0000-0F00-000005000000}" name="Power (kW)"/>
    <tableColumn id="6" xr3:uid="{00000000-0010-0000-0F00-000006000000}" name="Depth of discharge (%)"/>
    <tableColumn id="7" xr3:uid="{00000000-0010-0000-0F00-000007000000}" name="Efficiency (%)"/>
    <tableColumn id="9" xr3:uid="{00000000-0010-0000-0F00-000009000000}" name="Column2" dataDxfId="1" dataCellStyle="Currency [0] 2"/>
    <tableColumn id="10" xr3:uid="{00000000-0010-0000-0F00-00000A000000}" name="Installation costs (€)"/>
    <tableColumn id="11" xr3:uid="{00000000-0010-0000-0F00-00000B000000}" name="Operational costs annual (€)"/>
    <tableColumn id="12" xr3:uid="{00000000-0010-0000-0F00-00000C000000}" name="Own energy costs (€)"/>
    <tableColumn id="13" xr3:uid="{00000000-0010-0000-0F00-00000D000000}" name="External energy costs (€)"/>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7.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10.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1.bin"/><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6.bin"/><Relationship Id="rId1" Type="http://schemas.openxmlformats.org/officeDocument/2006/relationships/hyperlink" Target="https://www.belastingdienst.nl/wps/wcm/connect/bldcontentnl/belastingdienst/zakelijk/overige_belastingen/belastingen_op_milieugrondslag/tarieven_milieubelastingen/tabellen_tarieven_milieubelastingen" TargetMode="External"/><Relationship Id="rId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249977111117893"/>
  </sheetPr>
  <dimension ref="A1:E25"/>
  <sheetViews>
    <sheetView workbookViewId="0">
      <selection activeCell="B1" sqref="B1"/>
    </sheetView>
  </sheetViews>
  <sheetFormatPr defaultColWidth="9.140625" defaultRowHeight="17.25" x14ac:dyDescent="0.3"/>
  <cols>
    <col min="1" max="1" width="16.42578125" style="481" bestFit="1" customWidth="1"/>
    <col min="2" max="2" width="16.28515625" style="481" customWidth="1"/>
    <col min="3" max="3" width="1.7109375" style="481" customWidth="1"/>
    <col min="4" max="4" width="196.5703125" style="481" customWidth="1"/>
    <col min="5" max="5" width="1.7109375" style="481" customWidth="1"/>
    <col min="6" max="16384" width="9.140625" style="481"/>
  </cols>
  <sheetData>
    <row r="1" spans="1:5" x14ac:dyDescent="0.3">
      <c r="A1" s="507" t="s">
        <v>887</v>
      </c>
      <c r="B1" s="509" t="s">
        <v>287</v>
      </c>
      <c r="C1" s="482"/>
      <c r="E1" s="482"/>
    </row>
    <row r="2" spans="1:5" ht="6.75" customHeight="1" x14ac:dyDescent="0.3">
      <c r="C2" s="483"/>
      <c r="D2" s="489"/>
      <c r="E2" s="484"/>
    </row>
    <row r="3" spans="1:5" x14ac:dyDescent="0.3">
      <c r="C3" s="485"/>
      <c r="D3" s="492" t="str">
        <f>+Config!B124</f>
        <v>Voorwoord</v>
      </c>
      <c r="E3" s="486"/>
    </row>
    <row r="4" spans="1:5" ht="51.75" x14ac:dyDescent="0.3">
      <c r="C4" s="485"/>
      <c r="D4" s="493" t="str">
        <f>+Config!B125</f>
        <v>Het kostprijsmodel “TCO-ZET-Vracht” is in opdracht van Topsector Logistiek en het Ministerie van I&amp;W door Panteia gebouwd en wordt door haar vervolgens onderhouden. Bij de ontwikkeling van dit TCO-model is gekozen voor een open en transparante opzet. Dit betekent dat helder is welke rekenregels zijn toegepast en welke waarde van de default data als uitgangswaarde is gehanteerd. Het TCO-model wordt mede onderschreven door RAI, evofenedex en TLN.</v>
      </c>
      <c r="E4" s="486"/>
    </row>
    <row r="5" spans="1:5" x14ac:dyDescent="0.3">
      <c r="C5" s="485"/>
      <c r="D5" s="490"/>
      <c r="E5" s="486"/>
    </row>
    <row r="6" spans="1:5" x14ac:dyDescent="0.3">
      <c r="C6" s="485"/>
      <c r="D6" s="494" t="str">
        <f>+Config!B126</f>
        <v>Nieuw in TCO-ZET-Vracht versie 4.0 (d.d. 19-9-2022):</v>
      </c>
      <c r="E6" s="486"/>
    </row>
    <row r="7" spans="1:5" ht="189.75" x14ac:dyDescent="0.3">
      <c r="C7" s="485"/>
      <c r="D7" s="493" t="str">
        <f>+Config!B127</f>
        <v xml:space="preserve">De belangrijkste wijziging ten opzichte van versie 2 betreft een verlegging van het basisjaar van 2021 naar 2022.
Gemeld moet worden dat het uitdagend is gebleken om voldoende onderbouwde veranderingen vast te stellen daar de (prijs-) ontwikkelingen in de energie- en transportmarkt aan sterke fluctuaties onderhevig zijn.
De doorgevoerde verhoging van belangrijke posten is als volgt:
- Catalogusprijs van dieselvoertuigen: + 15%.
- Catalogusprijs van BEV en FCEV: + 3%.
- Rentepercentage 3,93% (2021: 2,65% ).
- Verzekeringspercentage 3,22% (2021: 3,00%).
- Dieselprijs (default): 1,92 euro/liter (incl. verlaagde accijns, excl. btw).
- Elektriciteitsprijs (default): 0,12 euro/kWh (Zone 3, excl. btw).
</v>
      </c>
      <c r="E7" s="486"/>
    </row>
    <row r="8" spans="1:5" ht="86.25" x14ac:dyDescent="0.3">
      <c r="C8" s="485"/>
      <c r="D8" s="493" t="str">
        <f>+Config!B128</f>
        <v xml:space="preserve">Overige aanpassingen:
- Bij FCEV wordt uitsluitend de waarde van HBE's berekend in geval van groene elektrolyse.
- Ten behoeve van de berekening van de subsidiebedragen is een vraag over de bedrijfsgrootte toegevoegd.
- TCO-vracht is nu beschikbaar in het Nederlands en het Engels. Om van taal te switchen kan linksboven in de readme een keuze gemaakt worden.
</v>
      </c>
      <c r="E8" s="486"/>
    </row>
    <row r="9" spans="1:5" ht="34.5" x14ac:dyDescent="0.3">
      <c r="C9" s="485"/>
      <c r="D9" s="495" t="s">
        <v>796</v>
      </c>
      <c r="E9" s="486"/>
    </row>
    <row r="10" spans="1:5" x14ac:dyDescent="0.3">
      <c r="C10" s="485"/>
      <c r="D10" s="494" t="str">
        <f>+Config!B129</f>
        <v xml:space="preserve">Het gebruik </v>
      </c>
      <c r="E10" s="486"/>
    </row>
    <row r="11" spans="1:5" ht="51.75" x14ac:dyDescent="0.3">
      <c r="C11" s="485"/>
      <c r="D11" s="493" t="str">
        <f>+Config!B130</f>
        <v xml:space="preserve">De opzet van het TCO-Vracht is zo eenvoudig als mogelijk gehouden. Dit houdt in dat het TCO-Vracht op basis van een beperkte input reeds onderbouwde rekenresultaten produceert. Wel moet het veld “Enable Content” (soms) worden aangeklikt om gebruik te kunnen maken van voor de berekeningen noodzakelijke “Macros”. 
</v>
      </c>
      <c r="E11" s="486"/>
    </row>
    <row r="12" spans="1:5" x14ac:dyDescent="0.3">
      <c r="C12" s="485"/>
      <c r="D12" s="496" t="str">
        <f>+Config!B131</f>
        <v>Defaultwaarden</v>
      </c>
      <c r="E12" s="486"/>
    </row>
    <row r="13" spans="1:5" ht="69" x14ac:dyDescent="0.3">
      <c r="C13" s="485"/>
      <c r="D13" s="493" t="str">
        <f>+Config!B132</f>
        <v xml:space="preserve">Bij een groot aantal (input-) gegevens is in het TCO-Vracht reeds een defaultwaarde ingevuld. Deze defaultwaarde (=standaardwaarde) is gebaseerd op gegevens uit de transportwereld. Veel van deze gegevens kunnen naar eigen inzicht veranderd worden met een eigen getal door gebruik te maken van een aantal “knoppen”. Bij deze knoppen is telkens de gebruikte defaultwaarde weergegeven. Overigens, met de resetknop: “Start nieuwe berekening”, wordt teruggegaan naar de oorspronkelijke (default-) waarden. 
</v>
      </c>
      <c r="E13" s="486"/>
    </row>
    <row r="14" spans="1:5" x14ac:dyDescent="0.3">
      <c r="C14" s="485"/>
      <c r="D14" s="496" t="str">
        <f>+Config!B133</f>
        <v>Resultaten</v>
      </c>
      <c r="E14" s="486"/>
    </row>
    <row r="15" spans="1:5" ht="51.75" x14ac:dyDescent="0.3">
      <c r="C15" s="485"/>
      <c r="D15" s="493" t="str">
        <f>+Config!B134</f>
        <v xml:space="preserve">De rekenresultaten worden kolomsgewijs getoond voor telkens een elektrische, een brandstofcel en een dieselvariant van een voertuig met vergelijkbare transportkarakteristieken. De verwachte jaarkilometrage van het geselecteerde voertuig is een bepalend getal. Op basis hiervan worden niet alleen de kosten en emissies berekend maar wordt bijvoorbeeld ook een advies gegeven over optimale capaciteit van de batterij en het vermogen van het oplaadsysteem. </v>
      </c>
      <c r="E15" s="486"/>
    </row>
    <row r="16" spans="1:5" x14ac:dyDescent="0.3">
      <c r="C16" s="485"/>
      <c r="D16" s="490"/>
      <c r="E16" s="486"/>
    </row>
    <row r="17" spans="3:5" x14ac:dyDescent="0.3">
      <c r="C17" s="485"/>
      <c r="D17" s="496" t="str">
        <f>+Config!B135</f>
        <v xml:space="preserve">Emissies </v>
      </c>
      <c r="E17" s="486"/>
    </row>
    <row r="18" spans="3:5" ht="69" x14ac:dyDescent="0.3">
      <c r="C18" s="485"/>
      <c r="D18" s="493" t="str">
        <f>+Config!B136</f>
        <v xml:space="preserve">Hoewel het een kostprijsmodel betreft, worden tevens de emissies (WtW) van een aantal vervuilende stoffen van het geselecteerde voertuig berekend. Het betreft daarbij CO2, NOx en PMx. Het ligt voor de hand dat er met (batterij of brandstofcel) elektrische voertuigen op groene stroom c.q. groene waterstof gereden wordt. Wanneer dit om een of andere reden niet mogelijk is, kan bijvoorbeeld “grijze elektriciteit” worden geselecteerd. Er wordt in dat geval gerekend met (de uitstoot van) de Nederlandse elektriciteitsmix. 
</v>
      </c>
      <c r="E18" s="486"/>
    </row>
    <row r="19" spans="3:5" x14ac:dyDescent="0.3">
      <c r="C19" s="485"/>
      <c r="D19" s="496" t="str">
        <f>+Config!B137</f>
        <v>Nieuwe versies</v>
      </c>
      <c r="E19" s="486"/>
    </row>
    <row r="20" spans="3:5" ht="69" x14ac:dyDescent="0.3">
      <c r="C20" s="485"/>
      <c r="D20" s="493" t="str">
        <f>+Config!B138</f>
        <v xml:space="preserve">De ontwikkelingen met betrekking tot de energietransitie volgen elkaar in een hoog tempo op. Niet alleen verandert de defaultwaarde van de inputgegevens bijvoorbeeld in de vorm van prijsdalingen, ook komen er regelmatig nieuwe voertuigklassen beschikbaar. Om te zorgen dat het TCO-Vracht zo actueel mogelijk blijft, worden er daarom periodiek updates gemaakt. Deze nieuwe versies van het model worden vervolgens gratis ter beschikking gesteld. 
</v>
      </c>
      <c r="E20" s="486"/>
    </row>
    <row r="21" spans="3:5" x14ac:dyDescent="0.3">
      <c r="C21" s="485"/>
      <c r="D21" s="496" t="str">
        <f>+Config!B139</f>
        <v xml:space="preserve">Disclaimer </v>
      </c>
      <c r="E21" s="486"/>
    </row>
    <row r="22" spans="3:5" ht="51.75" x14ac:dyDescent="0.3">
      <c r="C22" s="485"/>
      <c r="D22" s="493" t="str">
        <f>+Config!B140</f>
        <v xml:space="preserve">Veel zorg is besteed aan de correctheid van de rekenregels en de gebruikte inputdata c.q. defaultwaarden. Panteia of de Topsector Logistiek zijn echter niet aansprakelijk te houden voor de juistheid van de rekenresultaten. Deze kunnen ofwel lager dan wel hoger zijn. 
</v>
      </c>
      <c r="E22" s="486"/>
    </row>
    <row r="23" spans="3:5" x14ac:dyDescent="0.3">
      <c r="C23" s="485"/>
      <c r="D23" s="496" t="str">
        <f>+Config!B141</f>
        <v>Contact</v>
      </c>
      <c r="E23" s="486"/>
    </row>
    <row r="24" spans="3:5" ht="51.75" x14ac:dyDescent="0.3">
      <c r="C24" s="485"/>
      <c r="D24" s="493" t="str">
        <f>+Config!B142</f>
        <v xml:space="preserve">Indien u vragen hebt dan kunt u deze bij voorkeur verzenden naar: 
TCO-Vracht@panteia.nl
</v>
      </c>
      <c r="E24" s="486"/>
    </row>
    <row r="25" spans="3:5" x14ac:dyDescent="0.3">
      <c r="C25" s="487"/>
      <c r="D25" s="491"/>
      <c r="E25" s="488"/>
    </row>
  </sheetData>
  <pageMargins left="0.7" right="0.7" top="0.75" bottom="0.75" header="0.3" footer="0.3"/>
  <pageSetup paperSize="0" orientation="portrait" horizontalDpi="0" verticalDpi="0" copies="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Config!$C$1:$D$1</xm:f>
          </x14:formula1>
          <xm:sqref>B1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B050"/>
    <pageSetUpPr fitToPage="1"/>
  </sheetPr>
  <dimension ref="A1:Q121"/>
  <sheetViews>
    <sheetView workbookViewId="0">
      <selection activeCell="B20" sqref="B20"/>
    </sheetView>
  </sheetViews>
  <sheetFormatPr defaultColWidth="8.85546875" defaultRowHeight="10.5" x14ac:dyDescent="0.15"/>
  <cols>
    <col min="1" max="1" width="35.5703125" style="3" customWidth="1"/>
    <col min="2" max="2" width="34.28515625" style="3" customWidth="1"/>
    <col min="3" max="3" width="33.140625" style="3" bestFit="1" customWidth="1"/>
    <col min="4" max="4" width="31.28515625" style="3" customWidth="1"/>
    <col min="5" max="7" width="27.85546875" style="3" customWidth="1"/>
    <col min="8" max="8" width="31.28515625" style="3" customWidth="1"/>
    <col min="9" max="9" width="7.140625" style="3" bestFit="1" customWidth="1"/>
    <col min="10" max="10" width="8.85546875" style="3"/>
    <col min="11" max="12" width="8.85546875" style="3" customWidth="1"/>
    <col min="13" max="13" width="9.85546875" style="3" customWidth="1"/>
    <col min="14" max="14" width="10.7109375" style="3" bestFit="1" customWidth="1"/>
    <col min="15" max="15" width="11.7109375" style="3" bestFit="1" customWidth="1"/>
    <col min="16" max="16" width="10.7109375" style="3" bestFit="1" customWidth="1"/>
    <col min="17" max="16384" width="8.85546875" style="3"/>
  </cols>
  <sheetData>
    <row r="1" spans="1:17" ht="5.0999999999999996" customHeight="1" x14ac:dyDescent="0.15">
      <c r="A1" s="510"/>
      <c r="B1" s="510"/>
      <c r="C1" s="1"/>
      <c r="D1" s="1"/>
      <c r="E1" s="1"/>
      <c r="F1" s="1"/>
      <c r="G1" s="1"/>
      <c r="H1" s="1"/>
      <c r="I1" s="2"/>
    </row>
    <row r="2" spans="1:17" ht="5.0999999999999996" customHeight="1" x14ac:dyDescent="0.15">
      <c r="A2" s="4"/>
      <c r="B2" s="5"/>
      <c r="C2" s="5"/>
      <c r="D2" s="5"/>
      <c r="E2" s="5"/>
      <c r="F2" s="5"/>
      <c r="G2" s="5"/>
      <c r="H2" s="5"/>
      <c r="I2" s="6"/>
    </row>
    <row r="3" spans="1:17" x14ac:dyDescent="0.15">
      <c r="A3" s="4"/>
      <c r="B3" s="5"/>
      <c r="C3" s="5"/>
      <c r="D3" s="5"/>
      <c r="E3" s="5"/>
      <c r="F3" s="5"/>
      <c r="G3" s="5"/>
      <c r="H3" s="5"/>
      <c r="I3" s="6"/>
    </row>
    <row r="4" spans="1:17" x14ac:dyDescent="0.15">
      <c r="A4" s="4"/>
      <c r="B4" s="5"/>
      <c r="C4" s="7" t="s">
        <v>0</v>
      </c>
      <c r="D4" s="7"/>
      <c r="E4" s="7"/>
      <c r="F4" s="5"/>
      <c r="G4" s="5"/>
      <c r="H4" s="5"/>
      <c r="I4" s="6"/>
    </row>
    <row r="5" spans="1:17" x14ac:dyDescent="0.15">
      <c r="A5" s="4"/>
      <c r="B5" s="5"/>
      <c r="C5" s="547" t="str">
        <f>Config!B123</f>
        <v xml:space="preserve">De in het TCO-Vracht gebruikte default- c.q. standaardwaarden zijn met de grootste zorg verzameld. Het betreft echter gemiddelde cijfers, de werkelijke cijfers kunnen ofwel hoger dan wel lager zijn. Hoewel veel zorg is besteed aan de correctheid van de rekenregels en de gebruikte inputdata, is Panteia of de Topsector Logistiek niet aansprakelijk te houden voor de juistheid van de rekenresultaten. </v>
      </c>
      <c r="D5" s="548"/>
      <c r="E5" s="548"/>
      <c r="F5" s="5"/>
      <c r="G5" s="5"/>
      <c r="H5" s="5"/>
      <c r="I5" s="6"/>
    </row>
    <row r="6" spans="1:17" x14ac:dyDescent="0.15">
      <c r="A6" s="4"/>
      <c r="B6" s="5"/>
      <c r="C6" s="548"/>
      <c r="D6" s="548"/>
      <c r="E6" s="548"/>
      <c r="F6" s="5"/>
      <c r="G6" s="5"/>
      <c r="H6" s="5"/>
      <c r="I6" s="6"/>
    </row>
    <row r="7" spans="1:17" x14ac:dyDescent="0.15">
      <c r="A7" s="4"/>
      <c r="B7" s="5"/>
      <c r="C7" s="548"/>
      <c r="D7" s="548"/>
      <c r="E7" s="548"/>
      <c r="F7" s="5"/>
      <c r="G7" s="5"/>
      <c r="H7" s="5"/>
      <c r="I7" s="6"/>
    </row>
    <row r="8" spans="1:17" x14ac:dyDescent="0.15">
      <c r="A8" s="4"/>
      <c r="B8" s="5"/>
      <c r="C8" s="548"/>
      <c r="D8" s="548"/>
      <c r="E8" s="548"/>
      <c r="F8" s="5"/>
      <c r="G8" s="5"/>
      <c r="H8" s="5"/>
      <c r="I8" s="6"/>
    </row>
    <row r="9" spans="1:17" ht="11.25" thickBot="1" x14ac:dyDescent="0.2">
      <c r="A9" s="4"/>
      <c r="B9" s="5"/>
      <c r="C9" s="5"/>
      <c r="D9" s="5"/>
      <c r="E9" s="5"/>
      <c r="F9" s="5"/>
      <c r="G9" s="5"/>
      <c r="H9" s="5"/>
      <c r="I9" s="6"/>
    </row>
    <row r="10" spans="1:17" ht="15.6" customHeight="1" x14ac:dyDescent="0.2">
      <c r="A10" s="8" t="s">
        <v>2</v>
      </c>
      <c r="B10" s="9"/>
      <c r="C10" s="9" t="s">
        <v>3</v>
      </c>
      <c r="D10" s="9" t="s">
        <v>4</v>
      </c>
      <c r="E10" s="9"/>
      <c r="F10" s="549" t="str">
        <f>+Config!B10</f>
        <v>Naam dataset</v>
      </c>
      <c r="G10" s="551" t="str">
        <f>Config!B148</f>
        <v>&lt;naam&gt; + &lt;datum&gt;</v>
      </c>
      <c r="H10" s="134"/>
      <c r="I10" s="10"/>
    </row>
    <row r="11" spans="1:17" ht="11.25" thickBot="1" x14ac:dyDescent="0.2">
      <c r="A11" s="11"/>
      <c r="B11" s="12"/>
      <c r="C11" s="12" t="str">
        <f>+Config!B156</f>
        <v>versie 4.0</v>
      </c>
      <c r="D11" s="13">
        <v>44823</v>
      </c>
      <c r="E11" s="12"/>
      <c r="F11" s="550"/>
      <c r="G11" s="552"/>
      <c r="H11" s="133"/>
      <c r="I11" s="14"/>
    </row>
    <row r="12" spans="1:17" ht="11.25" thickBot="1" x14ac:dyDescent="0.2">
      <c r="A12" s="15" t="str">
        <f>+Config!B11</f>
        <v>BASIS INVOERGEGEVENS</v>
      </c>
      <c r="B12" s="16"/>
      <c r="C12" s="16"/>
      <c r="D12" s="17" t="str">
        <f>+Config!B12</f>
        <v>INZETGEGEVENS VOERTUIG SYSTEM</v>
      </c>
      <c r="E12" s="18"/>
      <c r="F12" s="18"/>
      <c r="G12" s="18"/>
      <c r="H12" s="18"/>
      <c r="I12" s="19"/>
    </row>
    <row r="13" spans="1:17" x14ac:dyDescent="0.15">
      <c r="A13" s="20"/>
      <c r="B13" s="21"/>
      <c r="C13" s="21"/>
      <c r="D13" s="499"/>
      <c r="E13" s="500" t="str">
        <f>+Config!B13</f>
        <v>Dieselvoertuig</v>
      </c>
      <c r="F13" s="500" t="str">
        <f>+Config!B14</f>
        <v xml:space="preserve">Elektrisch voertuig </v>
      </c>
      <c r="G13" s="500" t="str">
        <f>+Config!B15</f>
        <v>Waterstof voertuig</v>
      </c>
      <c r="H13" s="21"/>
      <c r="I13" s="22"/>
      <c r="M13" s="26"/>
      <c r="N13" s="26"/>
      <c r="O13" s="26"/>
    </row>
    <row r="14" spans="1:17" x14ac:dyDescent="0.15">
      <c r="A14" s="27" t="str">
        <f>+Config!B16</f>
        <v>Voertuigtype</v>
      </c>
      <c r="B14" s="28" t="s">
        <v>662</v>
      </c>
      <c r="C14" s="58" t="str">
        <f>IF(voertuigtype_input="","*","")</f>
        <v/>
      </c>
      <c r="D14" s="29" t="str">
        <f>+Config!B24</f>
        <v>Economische levensduur [jaren]</v>
      </c>
      <c r="E14" s="86">
        <v>7</v>
      </c>
      <c r="F14" s="86">
        <v>7</v>
      </c>
      <c r="G14" s="86">
        <v>7</v>
      </c>
      <c r="H14" s="33"/>
      <c r="I14" s="25"/>
      <c r="L14" s="30"/>
      <c r="M14" s="26"/>
      <c r="N14" s="26"/>
      <c r="O14" s="26"/>
      <c r="Q14" s="26"/>
    </row>
    <row r="15" spans="1:17" x14ac:dyDescent="0.15">
      <c r="A15" s="521" t="str">
        <f>+Config!B17</f>
        <v>Koelmachine (J/N)</v>
      </c>
      <c r="B15" s="31" t="s">
        <v>15</v>
      </c>
      <c r="C15" s="58" t="str">
        <f>IF(koelmachine="","*","")</f>
        <v/>
      </c>
      <c r="D15" s="29" t="str">
        <f>+Config!B25</f>
        <v xml:space="preserve">Restwaarde </v>
      </c>
      <c r="E15" s="87">
        <f>Calculatie!B37</f>
        <v>30563.182148350996</v>
      </c>
      <c r="F15" s="87">
        <f>Calculatie!C37</f>
        <v>57775.391584784491</v>
      </c>
      <c r="G15" s="87">
        <f>Calculatie!D37</f>
        <v>95008.123917154997</v>
      </c>
      <c r="H15" s="33"/>
      <c r="I15" s="25"/>
      <c r="L15" s="30"/>
      <c r="M15" s="26"/>
      <c r="N15" s="26"/>
      <c r="O15" s="26"/>
      <c r="Q15" s="26"/>
    </row>
    <row r="16" spans="1:17" x14ac:dyDescent="0.15">
      <c r="A16" s="27" t="str">
        <f>+Config!B18</f>
        <v>Verwacht jaarkilometrage</v>
      </c>
      <c r="B16" s="508">
        <f>Calculatie!$C$5</f>
        <v>70000</v>
      </c>
      <c r="C16" s="33" t="str">
        <f>+Config!B146</f>
        <v>[km/jaar]</v>
      </c>
      <c r="D16" s="29" t="str">
        <f>+Config!B26</f>
        <v>Productieve uren per jaar</v>
      </c>
      <c r="E16" s="83">
        <v>2600</v>
      </c>
      <c r="F16" s="432">
        <f>Calculatie!C17</f>
        <v>2600</v>
      </c>
      <c r="G16" s="432">
        <f>Calculatie!D17</f>
        <v>2600</v>
      </c>
      <c r="H16" s="33"/>
      <c r="I16" s="25"/>
      <c r="L16" s="30"/>
      <c r="M16" s="26"/>
      <c r="N16" s="26"/>
      <c r="O16" s="26"/>
      <c r="Q16" s="26"/>
    </row>
    <row r="17" spans="1:17" x14ac:dyDescent="0.15">
      <c r="A17" s="27" t="str">
        <f>+Config!B19</f>
        <v>Grijze/groene elektriciciteit</v>
      </c>
      <c r="B17" s="31" t="s">
        <v>20</v>
      </c>
      <c r="C17" s="58" t="str">
        <f>IF(Electricity_type="","*","")</f>
        <v/>
      </c>
      <c r="D17" s="29" t="str">
        <f>+Config!B27</f>
        <v>Kosten van reparaties</v>
      </c>
      <c r="E17" s="87">
        <f>Calculatie!B105</f>
        <v>1000</v>
      </c>
      <c r="F17" s="87">
        <f>Calculatie!C105</f>
        <v>1000</v>
      </c>
      <c r="G17" s="87">
        <f>Calculatie!D105</f>
        <v>3000</v>
      </c>
      <c r="H17" s="33"/>
      <c r="I17" s="25"/>
      <c r="L17" s="30"/>
      <c r="M17" s="26"/>
      <c r="N17" s="26"/>
      <c r="O17" s="26"/>
      <c r="Q17" s="26"/>
    </row>
    <row r="18" spans="1:17" x14ac:dyDescent="0.15">
      <c r="A18" s="27" t="str">
        <f>+Config!B20</f>
        <v>Grijze/groene waterstof</v>
      </c>
      <c r="B18" s="31" t="s">
        <v>681</v>
      </c>
      <c r="C18" s="58" t="str">
        <f>IF(H2_type="","*","")</f>
        <v/>
      </c>
      <c r="D18" s="29" t="str">
        <f>+Config!B28</f>
        <v>Stilstand [dagen per jaar]</v>
      </c>
      <c r="E18" s="431"/>
      <c r="F18" s="32"/>
      <c r="G18" s="32"/>
      <c r="H18" s="33"/>
      <c r="I18" s="25"/>
      <c r="L18" s="30"/>
      <c r="M18" s="26"/>
      <c r="N18" s="26"/>
      <c r="O18" s="26"/>
      <c r="Q18" s="26"/>
    </row>
    <row r="19" spans="1:17" x14ac:dyDescent="0.15">
      <c r="A19" s="27" t="str">
        <f>+Config!B21</f>
        <v>Rechtsvorm en belastingpercentage</v>
      </c>
      <c r="B19" s="31" t="s">
        <v>25</v>
      </c>
      <c r="C19" s="58" t="str">
        <f>IF(B19="","*","")</f>
        <v/>
      </c>
      <c r="D19" s="23"/>
      <c r="E19" s="33"/>
      <c r="F19" s="33"/>
      <c r="G19" s="33"/>
      <c r="H19" s="33"/>
      <c r="I19" s="25"/>
      <c r="L19" s="30"/>
      <c r="M19" s="26"/>
      <c r="N19" s="26"/>
      <c r="O19" s="26"/>
      <c r="Q19" s="26"/>
    </row>
    <row r="20" spans="1:17" x14ac:dyDescent="0.15">
      <c r="A20" s="27" t="str">
        <f>+Config!B22</f>
        <v>Basisjaar prognose</v>
      </c>
      <c r="B20" s="434">
        <v>2030</v>
      </c>
      <c r="C20" s="33"/>
      <c r="D20" s="23"/>
      <c r="E20" s="33"/>
      <c r="F20" s="33"/>
      <c r="G20" s="33"/>
      <c r="H20" s="33"/>
      <c r="I20" s="25"/>
      <c r="L20" s="30"/>
      <c r="M20" s="26"/>
      <c r="N20" s="26"/>
      <c r="O20" s="26"/>
      <c r="Q20" s="26"/>
    </row>
    <row r="21" spans="1:17" x14ac:dyDescent="0.15">
      <c r="A21" s="27" t="str">
        <f>+Config!B23</f>
        <v>Grootte van bedrijf</v>
      </c>
      <c r="B21" s="31" t="s">
        <v>28</v>
      </c>
      <c r="C21" s="58" t="str">
        <f>IF(bedrijftype_input="","*","")</f>
        <v/>
      </c>
      <c r="D21" s="239" t="str">
        <f>+Config!B29</f>
        <v>Vermogen eigen oplaadsysteem (kW)</v>
      </c>
      <c r="E21" s="34"/>
      <c r="F21" s="501">
        <f>'M1-PowerSupply'!B35</f>
        <v>50</v>
      </c>
      <c r="G21" s="24"/>
      <c r="H21" s="33"/>
      <c r="I21" s="25"/>
      <c r="L21" s="30"/>
      <c r="M21" s="26"/>
      <c r="N21" s="26"/>
      <c r="O21" s="26"/>
      <c r="Q21" s="26"/>
    </row>
    <row r="22" spans="1:17" x14ac:dyDescent="0.15">
      <c r="A22" s="35"/>
      <c r="B22" s="33"/>
      <c r="C22" s="33"/>
      <c r="D22" s="239" t="str">
        <f>+Config!B30</f>
        <v xml:space="preserve">Capaciteit vrachtwagenbatterij (kWh) </v>
      </c>
      <c r="E22" s="34"/>
      <c r="F22" s="502">
        <f>Calculatie!C25</f>
        <v>260</v>
      </c>
      <c r="G22" s="502">
        <f>Calculatie!D25</f>
        <v>140</v>
      </c>
      <c r="H22" s="24"/>
      <c r="I22" s="36"/>
      <c r="L22" s="30"/>
      <c r="M22" s="26"/>
      <c r="N22" s="26"/>
      <c r="O22" s="26"/>
      <c r="Q22" s="26"/>
    </row>
    <row r="23" spans="1:17" ht="11.45" customHeight="1" x14ac:dyDescent="0.15">
      <c r="A23" s="35"/>
      <c r="B23" s="517" t="str">
        <f>IF(COUNTIF($B$14:$B$21,"")&gt;0,Config!$B$197,"")</f>
        <v/>
      </c>
      <c r="C23" s="33"/>
      <c r="D23" s="239" t="str">
        <f>+Config!B31</f>
        <v>Waterstof opslag tank (kg)</v>
      </c>
      <c r="E23" s="24"/>
      <c r="F23" s="525" t="str">
        <f>IF(ISERROR(MATCH(batt_cap_input,'M1-PowerSupply'!$B$24:$B$27,0)),Config!$B$249,"")</f>
        <v/>
      </c>
      <c r="G23" s="503">
        <f>Calculatie!D30</f>
        <v>20</v>
      </c>
      <c r="H23" s="24"/>
      <c r="I23" s="36"/>
      <c r="L23" s="30"/>
      <c r="M23" s="26"/>
      <c r="N23" s="26"/>
      <c r="O23" s="26"/>
      <c r="Q23" s="26"/>
    </row>
    <row r="24" spans="1:17" ht="11.45" customHeight="1" thickBot="1" x14ac:dyDescent="0.2">
      <c r="A24" s="35"/>
      <c r="B24" s="33"/>
      <c r="C24" s="33"/>
      <c r="D24" s="504"/>
      <c r="E24" s="505"/>
      <c r="F24" s="49"/>
      <c r="G24" s="49"/>
      <c r="H24" s="505"/>
      <c r="I24" s="506"/>
      <c r="L24" s="30"/>
      <c r="M24" s="26"/>
      <c r="N24" s="26"/>
      <c r="O24" s="26"/>
      <c r="Q24" s="26"/>
    </row>
    <row r="25" spans="1:17" ht="11.25" thickBot="1" x14ac:dyDescent="0.2">
      <c r="A25" s="17" t="str">
        <f>+Config!B149</f>
        <v>BASIS UITGANGSPUNTEN</v>
      </c>
      <c r="B25" s="18"/>
      <c r="C25" s="18"/>
      <c r="D25" s="18"/>
      <c r="E25" s="18"/>
      <c r="F25" s="18"/>
      <c r="G25" s="18"/>
      <c r="H25" s="18"/>
      <c r="I25" s="19"/>
    </row>
    <row r="26" spans="1:17" x14ac:dyDescent="0.15">
      <c r="A26" s="20"/>
      <c r="B26" s="21"/>
      <c r="C26" s="21"/>
      <c r="D26" s="21"/>
      <c r="E26" s="21"/>
      <c r="F26" s="20"/>
      <c r="G26" s="21"/>
      <c r="H26" s="21"/>
      <c r="I26" s="25"/>
      <c r="M26" s="26"/>
      <c r="N26" s="26"/>
      <c r="O26" s="26"/>
    </row>
    <row r="27" spans="1:17" x14ac:dyDescent="0.15">
      <c r="A27" s="35"/>
      <c r="B27" s="33"/>
      <c r="C27" s="518" t="str">
        <f>+Config!B14</f>
        <v xml:space="preserve">Elektrisch voertuig </v>
      </c>
      <c r="D27" s="518" t="str">
        <f>+Config!B15</f>
        <v>Waterstof voertuig</v>
      </c>
      <c r="E27" s="33"/>
      <c r="F27" s="35"/>
      <c r="G27" s="33"/>
      <c r="H27" s="33"/>
      <c r="I27" s="25"/>
      <c r="M27" s="26"/>
      <c r="N27" s="26"/>
      <c r="O27" s="26"/>
    </row>
    <row r="28" spans="1:17" x14ac:dyDescent="0.15">
      <c r="A28" s="27" t="str">
        <f>+Config!B32</f>
        <v>AANKOOPPRIJS</v>
      </c>
      <c r="B28" s="34" t="str">
        <f>+Config!B16</f>
        <v>Voertuigtype</v>
      </c>
      <c r="C28" s="523" t="str">
        <f>Calculatie!C28</f>
        <v>Grote bakwagen 260 kWh</v>
      </c>
      <c r="D28" s="523" t="str">
        <f>Calculatie!D28</f>
        <v>Grote bakwagen 45 kW</v>
      </c>
      <c r="E28" s="33"/>
      <c r="F28" s="27" t="str">
        <f>+Config!B43</f>
        <v>Kale brandstofprijs</v>
      </c>
      <c r="G28" s="128">
        <v>1.5</v>
      </c>
      <c r="H28" s="24" t="str">
        <f>+Config!B151</f>
        <v>excl. BTW en accijns</v>
      </c>
      <c r="I28" s="36"/>
      <c r="M28" s="26"/>
      <c r="N28" s="26"/>
      <c r="O28" s="26"/>
    </row>
    <row r="29" spans="1:17" ht="11.45" customHeight="1" x14ac:dyDescent="0.15">
      <c r="A29" s="35"/>
      <c r="B29" s="34" t="str">
        <f>+Config!B33</f>
        <v xml:space="preserve">Bruto aankoopprijs </v>
      </c>
      <c r="C29" s="87">
        <f>Calculatie!C34</f>
        <v>250000</v>
      </c>
      <c r="D29" s="87">
        <f>Calculatie!D34</f>
        <v>411109.82250000001</v>
      </c>
      <c r="E29" s="33"/>
      <c r="F29" s="27" t="str">
        <f>+Config!B44</f>
        <v>Dieselaccijns</v>
      </c>
      <c r="G29" s="129">
        <v>0.42</v>
      </c>
      <c r="H29" s="24"/>
      <c r="I29" s="36"/>
      <c r="M29" s="26"/>
      <c r="N29" s="26"/>
      <c r="O29" s="26"/>
    </row>
    <row r="30" spans="1:17" ht="11.45" customHeight="1" x14ac:dyDescent="0.15">
      <c r="A30" s="35"/>
      <c r="B30" s="34" t="str">
        <f>+Config!B34</f>
        <v>AanZET-subsidie</v>
      </c>
      <c r="C30" s="37" t="s">
        <v>53</v>
      </c>
      <c r="D30" s="37" t="s">
        <v>53</v>
      </c>
      <c r="E30" s="33" t="str">
        <f>+Config!B55</f>
        <v>subsidie toepassen (J/N)</v>
      </c>
      <c r="F30" s="27" t="str">
        <f>+Config!B45</f>
        <v>Totale brandstofprijs</v>
      </c>
      <c r="G30" s="433">
        <f>fuel_price_input+G29</f>
        <v>1.92</v>
      </c>
      <c r="H30" s="24" t="str">
        <f>+Config!B152</f>
        <v>excl. BTW</v>
      </c>
      <c r="I30" s="36"/>
      <c r="M30" s="26"/>
      <c r="N30" s="26"/>
      <c r="O30" s="26"/>
    </row>
    <row r="31" spans="1:17" x14ac:dyDescent="0.15">
      <c r="A31" s="35"/>
      <c r="B31" s="34" t="str">
        <f>+Config!B35</f>
        <v>MIA-subsidie</v>
      </c>
      <c r="C31" s="37" t="s">
        <v>53</v>
      </c>
      <c r="D31" s="37" t="s">
        <v>53</v>
      </c>
      <c r="E31" s="33" t="str">
        <f>+Config!B55</f>
        <v>subsidie toepassen (J/N)</v>
      </c>
      <c r="F31" s="27"/>
      <c r="G31" s="33"/>
      <c r="H31" s="24"/>
      <c r="I31" s="36"/>
      <c r="M31" s="26"/>
      <c r="N31" s="26"/>
      <c r="O31" s="26"/>
    </row>
    <row r="32" spans="1:17" x14ac:dyDescent="0.15">
      <c r="A32" s="35"/>
      <c r="B32" s="34" t="str">
        <f>+Config!B36</f>
        <v>Netto aankoopprijs</v>
      </c>
      <c r="C32" s="435">
        <f>Calculatie!C50</f>
        <v>250000</v>
      </c>
      <c r="D32" s="435">
        <f>Calculatie!D50</f>
        <v>411109.82250000001</v>
      </c>
      <c r="E32" s="33"/>
      <c r="F32" s="27"/>
      <c r="G32" s="33"/>
      <c r="H32" s="33"/>
      <c r="I32" s="25"/>
      <c r="M32" s="26"/>
      <c r="N32" s="26"/>
      <c r="O32" s="26"/>
    </row>
    <row r="33" spans="1:16" x14ac:dyDescent="0.15">
      <c r="A33" s="35"/>
      <c r="B33" s="33"/>
      <c r="C33" s="33"/>
      <c r="D33" s="33"/>
      <c r="E33" s="33"/>
      <c r="F33" s="27" t="s">
        <v>4</v>
      </c>
      <c r="G33" s="38" t="str">
        <f>+Config!B59</f>
        <v>Dieselvoertuigbelastingen</v>
      </c>
      <c r="H33" s="118" t="str">
        <f>+Config!B60</f>
        <v>Meenemen</v>
      </c>
      <c r="I33" s="25"/>
      <c r="M33" s="26"/>
      <c r="N33" s="26"/>
      <c r="O33" s="26"/>
    </row>
    <row r="34" spans="1:16" x14ac:dyDescent="0.15">
      <c r="A34" s="35"/>
      <c r="B34" s="39"/>
      <c r="C34" s="33"/>
      <c r="D34" s="33"/>
      <c r="E34" s="33"/>
      <c r="F34" s="27" t="str">
        <f>+Config!B46</f>
        <v>Meerprijs tolheffing</v>
      </c>
      <c r="G34" s="428">
        <f>Calculatie!B80</f>
        <v>0</v>
      </c>
      <c r="H34" s="163" t="s">
        <v>53</v>
      </c>
      <c r="I34" s="36" t="s">
        <v>684</v>
      </c>
      <c r="M34" s="26"/>
      <c r="N34" s="26"/>
      <c r="O34" s="26"/>
    </row>
    <row r="35" spans="1:16" x14ac:dyDescent="0.15">
      <c r="A35" s="35"/>
      <c r="B35" s="34" t="str">
        <f>+Config!B37</f>
        <v xml:space="preserve">Bruto kosten inkoopoplaadsysteem </v>
      </c>
      <c r="C35" s="87">
        <f>Calculatie!C40</f>
        <v>18375</v>
      </c>
      <c r="D35" s="33"/>
      <c r="E35" s="33"/>
      <c r="F35" s="27" t="str">
        <f>+Config!B47</f>
        <v>Aandeel snelweg kilometers</v>
      </c>
      <c r="G35" s="426">
        <f>Calculatie!B83</f>
        <v>0.75</v>
      </c>
      <c r="H35" s="24"/>
      <c r="I35" s="36"/>
      <c r="M35" s="26"/>
      <c r="N35" s="26"/>
      <c r="O35" s="26"/>
    </row>
    <row r="36" spans="1:16" x14ac:dyDescent="0.15">
      <c r="A36" s="35"/>
      <c r="B36" s="34" t="str">
        <f>+Config!B38</f>
        <v xml:space="preserve"> Bruto kosten aanleg oplaadsysteem </v>
      </c>
      <c r="C36" s="87">
        <f>Calculatie!C43</f>
        <v>10840.5</v>
      </c>
      <c r="D36" s="33"/>
      <c r="E36" s="33"/>
      <c r="F36" s="27"/>
      <c r="G36" s="33"/>
      <c r="H36" s="24"/>
      <c r="I36" s="36"/>
      <c r="M36" s="26"/>
      <c r="N36" s="26"/>
      <c r="O36" s="26"/>
      <c r="P36" s="40"/>
    </row>
    <row r="37" spans="1:16" x14ac:dyDescent="0.15">
      <c r="A37" s="35"/>
      <c r="B37" s="34" t="str">
        <f>+Config!B35</f>
        <v>MIA-subsidie</v>
      </c>
      <c r="C37" s="37" t="s">
        <v>53</v>
      </c>
      <c r="D37" s="41"/>
      <c r="E37" s="33"/>
      <c r="F37" s="27" t="str">
        <f>+Config!B48</f>
        <v>Vaste ZE-Voertuigheffing</v>
      </c>
      <c r="G37" s="429"/>
      <c r="H37" s="163" t="s">
        <v>53</v>
      </c>
      <c r="I37" s="36" t="str">
        <f>+Config!B61</f>
        <v>€/jaar</v>
      </c>
      <c r="M37" s="26"/>
      <c r="N37" s="26"/>
      <c r="O37" s="26"/>
    </row>
    <row r="38" spans="1:16" ht="12.6" customHeight="1" x14ac:dyDescent="0.15">
      <c r="A38" s="35"/>
      <c r="B38" s="34" t="str">
        <f>+Config!B39</f>
        <v>Netto kosten inkoop &amp; aanleg oplaadsysteem</v>
      </c>
      <c r="C38" s="435">
        <f>Calculatie!C51</f>
        <v>29215.5</v>
      </c>
      <c r="D38" s="33"/>
      <c r="E38" s="33"/>
      <c r="F38" s="27"/>
      <c r="G38" s="33"/>
      <c r="H38" s="33"/>
      <c r="I38" s="25"/>
      <c r="L38" s="26"/>
      <c r="M38" s="26"/>
      <c r="N38" s="26"/>
    </row>
    <row r="39" spans="1:16" ht="12.6" customHeight="1" x14ac:dyDescent="0.15">
      <c r="A39" s="35"/>
      <c r="B39" s="34"/>
      <c r="C39" s="33"/>
      <c r="D39" s="33"/>
      <c r="E39" s="33"/>
      <c r="F39" s="27" t="str">
        <f>+Config!B49</f>
        <v>CO2 prijs</v>
      </c>
      <c r="G39" s="430"/>
      <c r="H39" s="163" t="s">
        <v>53</v>
      </c>
      <c r="I39" s="36" t="s">
        <v>686</v>
      </c>
      <c r="L39" s="26"/>
      <c r="M39" s="26"/>
      <c r="N39" s="26"/>
    </row>
    <row r="40" spans="1:16" ht="12.6" customHeight="1" x14ac:dyDescent="0.15">
      <c r="A40" s="35"/>
      <c r="B40" s="33"/>
      <c r="C40" s="33"/>
      <c r="D40" s="33"/>
      <c r="E40" s="33"/>
      <c r="F40" s="35"/>
      <c r="G40" s="33"/>
      <c r="H40" s="33"/>
      <c r="I40" s="25"/>
      <c r="M40" s="26"/>
      <c r="N40" s="26"/>
      <c r="O40" s="26"/>
    </row>
    <row r="41" spans="1:16" ht="11.25" thickBot="1" x14ac:dyDescent="0.2">
      <c r="A41" s="35"/>
      <c r="B41" s="33"/>
      <c r="C41" s="33"/>
      <c r="D41" s="33"/>
      <c r="E41" s="427"/>
      <c r="F41" s="35"/>
      <c r="G41" s="553" t="str">
        <f>+Config!B62</f>
        <v>Hernieuwbare Brandstof-Eenheden (HBE's)</v>
      </c>
      <c r="H41" s="554"/>
      <c r="I41" s="136"/>
      <c r="M41" s="26"/>
      <c r="N41" s="26"/>
      <c r="O41" s="26"/>
    </row>
    <row r="42" spans="1:16" x14ac:dyDescent="0.15">
      <c r="A42" s="35"/>
      <c r="B42" s="33"/>
      <c r="C42" s="33"/>
      <c r="D42" s="33"/>
      <c r="E42" s="33"/>
      <c r="F42" s="35"/>
      <c r="G42" s="42" t="str">
        <f>+Config!B153</f>
        <v>Elektrisch voertuig (BEV)</v>
      </c>
      <c r="H42" s="42" t="str">
        <f>+Config!B154</f>
        <v>Waterstof voertuig (FCEV)</v>
      </c>
      <c r="I42" s="135"/>
      <c r="M42" s="26"/>
      <c r="N42" s="26"/>
      <c r="O42" s="26"/>
    </row>
    <row r="43" spans="1:16" x14ac:dyDescent="0.15">
      <c r="A43" s="27" t="str">
        <f>+Config!B40</f>
        <v>INKOOPPRIJS ENERGIE</v>
      </c>
      <c r="B43" s="33"/>
      <c r="C43" s="38" t="str">
        <f>+Config!B56</f>
        <v>Elektriciteit: euro/kWh</v>
      </c>
      <c r="D43" s="38" t="str">
        <f>+Config!B57</f>
        <v>Waterstof: euro/kg</v>
      </c>
      <c r="E43" s="24" t="str">
        <f>+Config!B58</f>
        <v>Dieselprijs: euro/l</v>
      </c>
      <c r="F43" s="27" t="str">
        <f>+Config!B50</f>
        <v>HBE Toepassen (J/N)</v>
      </c>
      <c r="G43" s="43" t="s">
        <v>53</v>
      </c>
      <c r="H43" s="43" t="s">
        <v>53</v>
      </c>
      <c r="I43" s="137"/>
      <c r="K43" s="26"/>
      <c r="M43" s="26"/>
      <c r="N43" s="26"/>
      <c r="O43" s="26"/>
    </row>
    <row r="44" spans="1:16" x14ac:dyDescent="0.15">
      <c r="A44" s="35"/>
      <c r="B44" s="34" t="str">
        <f>+Config!B41</f>
        <v xml:space="preserve">Basisprijs energie </v>
      </c>
      <c r="C44" s="44">
        <f>Calculatie!C70</f>
        <v>0.12349</v>
      </c>
      <c r="D44" s="44">
        <f>Calculatie!D70</f>
        <v>10</v>
      </c>
      <c r="E44" s="436">
        <f>G30</f>
        <v>1.92</v>
      </c>
      <c r="F44" s="27" t="str">
        <f>+Config!B51</f>
        <v>Aantal HBE's</v>
      </c>
      <c r="G44" s="439">
        <f>Calculatie!C96</f>
        <v>1353</v>
      </c>
      <c r="H44" s="439">
        <f>Calculatie!D96</f>
        <v>1867</v>
      </c>
      <c r="I44" s="138"/>
      <c r="M44" s="26"/>
      <c r="N44" s="26"/>
      <c r="O44" s="26"/>
    </row>
    <row r="45" spans="1:16" x14ac:dyDescent="0.15">
      <c r="A45" s="35"/>
      <c r="B45" s="34" t="str">
        <f>+Config!B42</f>
        <v>Energiesubsidie</v>
      </c>
      <c r="C45" s="44"/>
      <c r="D45" s="44"/>
      <c r="E45" s="33"/>
      <c r="F45" s="27" t="str">
        <f>+Config!B52</f>
        <v>Forfait</v>
      </c>
      <c r="G45" s="238">
        <f>Calculatie!C92</f>
        <v>1</v>
      </c>
      <c r="H45" s="238">
        <f>Calculatie!D92</f>
        <v>1</v>
      </c>
      <c r="I45" s="139"/>
      <c r="K45" s="26"/>
    </row>
    <row r="46" spans="1:16" x14ac:dyDescent="0.15">
      <c r="A46" s="35"/>
      <c r="B46" s="34" t="str">
        <f>+Config!B150</f>
        <v>Netto inkooprijs</v>
      </c>
      <c r="C46" s="437">
        <f>Calculatie!C74</f>
        <v>0.12349</v>
      </c>
      <c r="D46" s="438">
        <f>Calculatie!D74</f>
        <v>10</v>
      </c>
      <c r="E46" s="45"/>
      <c r="F46" s="27" t="str">
        <f>+Config!B53</f>
        <v>Waarde per HBE</v>
      </c>
      <c r="G46" s="46">
        <f>Parameters!$B$55</f>
        <v>18</v>
      </c>
      <c r="H46" s="46">
        <f>Parameters!$B$55</f>
        <v>18</v>
      </c>
      <c r="I46" s="140"/>
      <c r="K46" s="26"/>
    </row>
    <row r="47" spans="1:16" ht="11.25" thickBot="1" x14ac:dyDescent="0.2">
      <c r="A47" s="35"/>
      <c r="B47" s="33"/>
      <c r="C47" s="33"/>
      <c r="D47" s="33"/>
      <c r="E47" s="33"/>
      <c r="F47" s="172" t="str">
        <f>+Config!B54</f>
        <v>Totale waarde HBE's</v>
      </c>
      <c r="G47" s="440">
        <f>IF((G44*G46)-Parameters!$B$57&lt;0,0,(G44*G46)-Parameters!$B$57)</f>
        <v>22354</v>
      </c>
      <c r="H47" s="440">
        <f>IF((H44*H46)-Parameters!$B$57&lt;0,0,(H44*H46)-Parameters!$B$57)</f>
        <v>31606</v>
      </c>
      <c r="I47" s="415"/>
      <c r="K47" s="26"/>
    </row>
    <row r="48" spans="1:16" ht="11.25" thickBot="1" x14ac:dyDescent="0.2">
      <c r="A48" s="47"/>
      <c r="B48" s="48"/>
      <c r="C48" s="48"/>
      <c r="D48" s="48"/>
      <c r="E48" s="48"/>
      <c r="F48" s="35"/>
      <c r="G48" s="33"/>
      <c r="H48" s="33"/>
      <c r="I48" s="22"/>
    </row>
    <row r="49" spans="1:16" ht="11.25" thickBot="1" x14ac:dyDescent="0.2">
      <c r="A49" s="51" t="str">
        <f>+Config!B63</f>
        <v>RESULTATEN</v>
      </c>
      <c r="B49" s="52"/>
      <c r="C49" s="52"/>
      <c r="D49" s="52"/>
      <c r="E49" s="498"/>
      <c r="F49" s="33"/>
      <c r="G49" s="33"/>
      <c r="H49" s="33"/>
      <c r="I49" s="25"/>
    </row>
    <row r="50" spans="1:16" x14ac:dyDescent="0.15">
      <c r="A50" s="141" t="str">
        <f>+Config!B64</f>
        <v>Scenario</v>
      </c>
      <c r="B50" s="444"/>
      <c r="C50" s="60" t="s">
        <v>63</v>
      </c>
      <c r="D50" s="461" t="str">
        <f>+Config!B196</f>
        <v>EV Optimale mix</v>
      </c>
      <c r="E50" s="454" t="str">
        <f>+Config!B15</f>
        <v>Waterstof voertuig</v>
      </c>
      <c r="F50" s="33"/>
      <c r="G50" s="55"/>
      <c r="H50" s="33"/>
      <c r="I50" s="25"/>
    </row>
    <row r="51" spans="1:16" ht="11.25" thickBot="1" x14ac:dyDescent="0.2">
      <c r="A51" s="130" t="str">
        <f>+Config!B65</f>
        <v>Scenario technisch mogelijk (valide)/niet mogelijk</v>
      </c>
      <c r="B51" s="81"/>
      <c r="C51" s="56" t="s">
        <v>683</v>
      </c>
      <c r="D51" s="443" t="str">
        <f>IF(AND('M1-PowerSupply'!B55="Valide",'M1-PowerSupply'!B56="Valide",'M1-PowerSupply'!B57="Valide"),"Scenario valide","Vehicle technology insufficient")</f>
        <v>Scenario valide</v>
      </c>
      <c r="E51" s="442" t="s">
        <v>683</v>
      </c>
      <c r="F51" s="33"/>
      <c r="G51" s="55"/>
      <c r="H51" s="33"/>
      <c r="I51" s="25"/>
    </row>
    <row r="52" spans="1:16" ht="11.25" thickBot="1" x14ac:dyDescent="0.2">
      <c r="A52" s="57"/>
      <c r="B52" s="58"/>
      <c r="C52" s="59"/>
      <c r="D52" s="59"/>
      <c r="E52" s="59"/>
      <c r="F52" s="33"/>
      <c r="G52" s="55"/>
      <c r="H52" s="33"/>
      <c r="I52" s="25"/>
      <c r="N52" s="40"/>
    </row>
    <row r="53" spans="1:16" ht="15" customHeight="1" x14ac:dyDescent="0.15">
      <c r="A53" s="131" t="str">
        <f>+Config!B16</f>
        <v>Voertuigtype</v>
      </c>
      <c r="B53" s="444"/>
      <c r="C53" s="60" t="str">
        <f>voertuigtype_input</f>
        <v>Grote bakwagen (lvm &gt;18 ton)</v>
      </c>
      <c r="D53" s="461" t="str">
        <f>Calculatie!C28</f>
        <v>Grote bakwagen 260 kWh</v>
      </c>
      <c r="E53" s="454" t="str">
        <f>Calculatie!D28</f>
        <v>Grote bakwagen 45 kW</v>
      </c>
      <c r="F53" s="33"/>
      <c r="G53" s="33"/>
      <c r="H53" s="33"/>
      <c r="I53" s="25"/>
      <c r="K53" s="61"/>
      <c r="O53" s="40"/>
      <c r="P53" s="40"/>
    </row>
    <row r="54" spans="1:16" x14ac:dyDescent="0.15">
      <c r="A54" s="63" t="str">
        <f>+Config!B66</f>
        <v>Eigen oplaadsysteem</v>
      </c>
      <c r="B54" s="58"/>
      <c r="C54" s="62" t="s">
        <v>683</v>
      </c>
      <c r="D54" s="462" t="str">
        <f>'M1-PowerSupply'!B38</f>
        <v>FC50</v>
      </c>
      <c r="E54" s="455" t="s">
        <v>683</v>
      </c>
      <c r="F54" s="33"/>
      <c r="G54" s="55"/>
      <c r="H54" s="33"/>
      <c r="I54" s="25"/>
    </row>
    <row r="55" spans="1:16" ht="11.25" thickBot="1" x14ac:dyDescent="0.2">
      <c r="A55" s="130" t="str">
        <f>+Config!B67</f>
        <v>Openbaar oplaadsysteem</v>
      </c>
      <c r="B55" s="81"/>
      <c r="C55" s="56" t="s">
        <v>683</v>
      </c>
      <c r="D55" s="443" t="str">
        <f>'M1-PowerSupply'!B49</f>
        <v>HPC350</v>
      </c>
      <c r="E55" s="456" t="s">
        <v>683</v>
      </c>
      <c r="F55" s="33"/>
      <c r="G55" s="55"/>
      <c r="H55" s="33"/>
      <c r="I55" s="25"/>
      <c r="O55" s="40"/>
    </row>
    <row r="56" spans="1:16" ht="11.25" thickBot="1" x14ac:dyDescent="0.2">
      <c r="A56" s="57"/>
      <c r="B56" s="58"/>
      <c r="C56" s="59"/>
      <c r="D56" s="59"/>
      <c r="E56" s="59"/>
      <c r="F56" s="33"/>
      <c r="G56" s="55"/>
      <c r="H56" s="33"/>
      <c r="I56" s="25"/>
    </row>
    <row r="57" spans="1:16" x14ac:dyDescent="0.15">
      <c r="A57" s="141" t="str">
        <f>+Config!B68</f>
        <v>Percentage eigen oplaadsysteem</v>
      </c>
      <c r="B57" s="444"/>
      <c r="C57" s="54" t="s">
        <v>683</v>
      </c>
      <c r="D57" s="463">
        <f>'M1-PowerSupply'!B41/'M1-PowerSupply'!C14</f>
        <v>0.50329707471403307</v>
      </c>
      <c r="E57" s="441" t="s">
        <v>683</v>
      </c>
      <c r="F57" s="33"/>
      <c r="G57" s="55"/>
      <c r="H57" s="33"/>
      <c r="I57" s="25"/>
    </row>
    <row r="58" spans="1:16" ht="11.25" thickBot="1" x14ac:dyDescent="0.2">
      <c r="A58" s="130" t="str">
        <f>+Config!B69</f>
        <v>Percentage extern (openbaar) oplaadsysteem</v>
      </c>
      <c r="B58" s="81"/>
      <c r="C58" s="56" t="s">
        <v>683</v>
      </c>
      <c r="D58" s="464">
        <f>'M1-PowerSupply'!B51/'M1-PowerSupply'!C14</f>
        <v>0.49670292528596688</v>
      </c>
      <c r="E58" s="442" t="s">
        <v>683</v>
      </c>
      <c r="F58" s="39"/>
      <c r="G58" s="55"/>
      <c r="H58" s="33"/>
      <c r="I58" s="25"/>
    </row>
    <row r="59" spans="1:16" ht="11.25" thickBot="1" x14ac:dyDescent="0.2">
      <c r="A59" s="63"/>
      <c r="B59" s="58"/>
      <c r="C59" s="64"/>
      <c r="D59" s="64"/>
      <c r="E59" s="64"/>
      <c r="F59" s="55"/>
      <c r="G59" s="55"/>
      <c r="H59" s="33"/>
      <c r="I59" s="25"/>
    </row>
    <row r="60" spans="1:16" x14ac:dyDescent="0.15">
      <c r="A60" s="142" t="str">
        <f>+Config!B70</f>
        <v>Totale kosten per jaar</v>
      </c>
      <c r="B60" s="444"/>
      <c r="C60" s="65">
        <f>SUM(C112,C120)</f>
        <v>176440.26058343469</v>
      </c>
      <c r="D60" s="465">
        <f t="shared" ref="D60:E60" si="0">SUM(D112,D120)</f>
        <v>197866.02202328571</v>
      </c>
      <c r="E60" s="457">
        <f t="shared" si="0"/>
        <v>261938.45435259835</v>
      </c>
      <c r="F60" s="55"/>
      <c r="G60" s="55"/>
      <c r="H60" s="33"/>
      <c r="I60" s="25"/>
    </row>
    <row r="61" spans="1:16" x14ac:dyDescent="0.15">
      <c r="A61" s="143" t="str">
        <f>+Config!B71</f>
        <v>Totale kosten per km</v>
      </c>
      <c r="B61" s="58"/>
      <c r="C61" s="66">
        <f>C60/Calculatie!$B$5</f>
        <v>2.5205751511919243</v>
      </c>
      <c r="D61" s="466">
        <f>D60/Calculatie!$B$5</f>
        <v>2.8266574574755103</v>
      </c>
      <c r="E61" s="451">
        <f>E60/Calculatie!$B$5</f>
        <v>3.7419779193228333</v>
      </c>
      <c r="F61" s="55"/>
      <c r="G61" s="55"/>
      <c r="H61" s="33"/>
      <c r="I61" s="25"/>
    </row>
    <row r="62" spans="1:16" ht="11.25" thickBot="1" x14ac:dyDescent="0.2">
      <c r="A62" s="144" t="str">
        <f>+Config!B72</f>
        <v>Totale kosten per uur</v>
      </c>
      <c r="B62" s="81"/>
      <c r="C62" s="67">
        <f>C60/Calculatie!B17</f>
        <v>67.861638685936413</v>
      </c>
      <c r="D62" s="467">
        <f>D60/Calculatie!C17</f>
        <v>76.102316162802197</v>
      </c>
      <c r="E62" s="452">
        <f>E60/Calculatie!D17</f>
        <v>100.74555936638399</v>
      </c>
      <c r="F62" s="55"/>
      <c r="G62" s="55"/>
      <c r="H62" s="33"/>
      <c r="I62" s="25"/>
    </row>
    <row r="63" spans="1:16" ht="11.25" thickBot="1" x14ac:dyDescent="0.2">
      <c r="A63" s="57"/>
      <c r="B63" s="58"/>
      <c r="C63" s="58"/>
      <c r="D63" s="58"/>
      <c r="E63" s="58"/>
      <c r="F63" s="39"/>
      <c r="G63" s="55"/>
      <c r="H63" s="33"/>
      <c r="I63" s="25"/>
    </row>
    <row r="64" spans="1:16" x14ac:dyDescent="0.15">
      <c r="A64" s="158" t="str">
        <f>+Config!B73</f>
        <v>Emissies (totaal per jaar voor het geselecteerde voertuig)</v>
      </c>
      <c r="B64" s="444"/>
      <c r="C64" s="68"/>
      <c r="D64" s="53"/>
      <c r="E64" s="458"/>
      <c r="F64" s="39"/>
      <c r="G64" s="55"/>
      <c r="H64" s="33"/>
      <c r="I64" s="25"/>
    </row>
    <row r="65" spans="1:9" x14ac:dyDescent="0.15">
      <c r="A65" s="159" t="str">
        <f>+Config!B74</f>
        <v>CO2 emissies (ton per jaar, WtW)</v>
      </c>
      <c r="B65" s="58"/>
      <c r="C65" s="156">
        <f>Calculatie!B60</f>
        <v>64.716077686277629</v>
      </c>
      <c r="D65" s="468">
        <f>Calculatie!C60</f>
        <v>0</v>
      </c>
      <c r="E65" s="459">
        <f>Calculatie!D60</f>
        <v>0</v>
      </c>
      <c r="F65" s="39"/>
      <c r="G65" s="55"/>
      <c r="H65" s="33"/>
      <c r="I65" s="25"/>
    </row>
    <row r="66" spans="1:9" x14ac:dyDescent="0.15">
      <c r="A66" s="159" t="str">
        <f>+Config!B75</f>
        <v>PM totaal (kg per jaar, TtW)</v>
      </c>
      <c r="B66" s="58"/>
      <c r="C66" s="156">
        <f>Calculatie!B61+Calculatie!B62</f>
        <v>6.4562274204741721</v>
      </c>
      <c r="D66" s="468">
        <f>Calculatie!C61+Calculatie!C62</f>
        <v>5.6844816480881075</v>
      </c>
      <c r="E66" s="459">
        <f>Calculatie!D61+Calculatie!D62</f>
        <v>5.6844816480881075</v>
      </c>
      <c r="F66" s="39"/>
      <c r="G66" s="55"/>
      <c r="H66" s="33"/>
      <c r="I66" s="25"/>
    </row>
    <row r="67" spans="1:9" ht="11.25" thickBot="1" x14ac:dyDescent="0.2">
      <c r="A67" s="160" t="str">
        <f>+Config!B76</f>
        <v>NOx (kg per jaar, TtW)</v>
      </c>
      <c r="B67" s="81"/>
      <c r="C67" s="157">
        <f>Calculatie!B65</f>
        <v>91.904567548463604</v>
      </c>
      <c r="D67" s="469" t="s">
        <v>683</v>
      </c>
      <c r="E67" s="460" t="s">
        <v>683</v>
      </c>
      <c r="F67" s="39"/>
      <c r="G67" s="55"/>
      <c r="H67" s="33"/>
      <c r="I67" s="25"/>
    </row>
    <row r="68" spans="1:9" x14ac:dyDescent="0.15">
      <c r="A68" s="69"/>
      <c r="B68" s="58"/>
      <c r="C68" s="58"/>
      <c r="D68" s="58"/>
      <c r="E68" s="58"/>
      <c r="F68" s="39"/>
      <c r="G68" s="33"/>
      <c r="H68" s="33"/>
      <c r="I68" s="25"/>
    </row>
    <row r="69" spans="1:9" ht="11.25" thickBot="1" x14ac:dyDescent="0.2">
      <c r="A69" s="69"/>
      <c r="B69" s="58"/>
      <c r="C69" s="58"/>
      <c r="D69" s="58"/>
      <c r="E69" s="58"/>
      <c r="F69" s="39"/>
      <c r="G69" s="33"/>
      <c r="H69" s="33"/>
      <c r="I69" s="25"/>
    </row>
    <row r="70" spans="1:9" ht="11.25" thickBot="1" x14ac:dyDescent="0.2">
      <c r="A70" s="51" t="str">
        <f>+Config!B77</f>
        <v>ONDERBOUWING KOSTENBEREKENING</v>
      </c>
      <c r="B70" s="52"/>
      <c r="C70" s="52"/>
      <c r="D70" s="52"/>
      <c r="E70" s="498"/>
      <c r="F70" s="70" t="s">
        <v>4</v>
      </c>
      <c r="G70" s="33" t="s">
        <v>4</v>
      </c>
      <c r="H70" s="33"/>
      <c r="I70" s="25"/>
    </row>
    <row r="71" spans="1:9" x14ac:dyDescent="0.15">
      <c r="A71" s="151" t="str">
        <f>+Config!B78</f>
        <v>Vaste kosten per jaar</v>
      </c>
      <c r="B71" s="444"/>
      <c r="C71" s="68"/>
      <c r="D71" s="53"/>
      <c r="E71" s="458"/>
      <c r="F71" s="39"/>
      <c r="G71" s="55"/>
      <c r="H71" s="33"/>
      <c r="I71" s="25"/>
    </row>
    <row r="72" spans="1:9" x14ac:dyDescent="0.15">
      <c r="A72" s="161" t="str">
        <f>+Config!B79</f>
        <v>Wegenbelasting</v>
      </c>
      <c r="B72" s="58"/>
      <c r="C72" s="71">
        <f>INDEX(VehicleCatalogus[[#All],[Road tax]],MATCH(Calculatie!B28,VehicleCatalogus[[#All],[Name]],0))</f>
        <v>315.89999999999998</v>
      </c>
      <c r="D72" s="470">
        <f>INDEX(VehicleCatalogus[[#All],[Road tax]],MATCH(Calculatie!C28,VehicleCatalogus[[#All],[Name]],0))</f>
        <v>0</v>
      </c>
      <c r="E72" s="448">
        <f>INDEX(VehicleCatalogus[[#All],[Road tax]],MATCH(Calculatie!D28,VehicleCatalogus[[#All],[Name]],0))</f>
        <v>0</v>
      </c>
      <c r="F72" s="39"/>
      <c r="G72" s="55"/>
      <c r="H72" s="33"/>
      <c r="I72" s="25"/>
    </row>
    <row r="73" spans="1:9" x14ac:dyDescent="0.15">
      <c r="A73" s="161" t="str">
        <f>+Config!B80</f>
        <v>Eurovignet</v>
      </c>
      <c r="B73" s="58"/>
      <c r="C73" s="71">
        <f>INDEX(Misc_Ops_Parameters[[#All],[Eurovignet]],MATCH(Calculatie!$B$2,Misc_Ops_Parameters[[#All],[Vehicle type]],0))</f>
        <v>750</v>
      </c>
      <c r="D73" s="470">
        <f>INDEX(Misc_Ops_Parameters[[#All],[Eurovignet]],MATCH(Calculatie!$B$2,Misc_Ops_Parameters[[#All],[Vehicle type]],0))</f>
        <v>750</v>
      </c>
      <c r="E73" s="448">
        <f>INDEX(Misc_Ops_Parameters[[#All],[Eurovignet]],MATCH(Calculatie!$B$2,Misc_Ops_Parameters[[#All],[Vehicle type]],0))</f>
        <v>750</v>
      </c>
      <c r="F73" s="39"/>
      <c r="G73" s="55"/>
      <c r="H73" s="33"/>
      <c r="I73" s="25"/>
    </row>
    <row r="74" spans="1:9" x14ac:dyDescent="0.15">
      <c r="A74" s="161" t="str">
        <f>+Config!B81</f>
        <v>Rente</v>
      </c>
      <c r="B74" s="58"/>
      <c r="C74" s="71">
        <f>AVERAGE(Calculatie!B50,Calculatie!B39)*Parameters!$B$22</f>
        <v>3196.2397141373426</v>
      </c>
      <c r="D74" s="470">
        <f>AVERAGE(Calculatie!C50,Calculatie!C39)*Parameters!$B$22</f>
        <v>6042.0410475186063</v>
      </c>
      <c r="E74" s="448">
        <f>AVERAGE(Calculatie!D50,Calculatie!D39)*Parameters!$B$22</f>
        <v>9935.769690332354</v>
      </c>
      <c r="F74" s="39"/>
      <c r="G74" s="55"/>
      <c r="H74" s="33"/>
      <c r="I74" s="25"/>
    </row>
    <row r="75" spans="1:9" x14ac:dyDescent="0.15">
      <c r="A75" s="161" t="str">
        <f>+Config!B82</f>
        <v>Verzekering</v>
      </c>
      <c r="B75" s="58"/>
      <c r="C75" s="71">
        <f>Calculatie!B36*Parameters!$B$23</f>
        <v>4264.5467250000002</v>
      </c>
      <c r="D75" s="470">
        <f>Calculatie!C36*Parameters!$B$23</f>
        <v>8061.5249999999996</v>
      </c>
      <c r="E75" s="448">
        <f>Calculatie!D36*Parameters!$B$23</f>
        <v>13256.68844731725</v>
      </c>
      <c r="F75" s="39"/>
      <c r="G75" s="55"/>
      <c r="H75" s="33"/>
      <c r="I75" s="25"/>
    </row>
    <row r="76" spans="1:9" x14ac:dyDescent="0.15">
      <c r="A76" s="161" t="str">
        <f>+Config!B83</f>
        <v>Voertuigheffing</v>
      </c>
      <c r="B76" s="58"/>
      <c r="C76" s="71">
        <f>IF(OR(H37="J",H37="Y"),voertuigheffing_input,0)</f>
        <v>0</v>
      </c>
      <c r="D76" s="470">
        <v>0</v>
      </c>
      <c r="E76" s="448">
        <v>0</v>
      </c>
      <c r="F76" s="39"/>
      <c r="G76" s="55"/>
      <c r="H76" s="33"/>
      <c r="I76" s="25"/>
    </row>
    <row r="77" spans="1:9" x14ac:dyDescent="0.15">
      <c r="A77" s="161" t="str">
        <f>+Config!B84</f>
        <v>Diverse overige voertuigkosten</v>
      </c>
      <c r="B77" s="58"/>
      <c r="C77" s="71">
        <f>INDEX(Misc_Ops_Parameters[[#All],[Misc. vehicle cost]],MATCH(Calculatie!$B$2,Misc_Ops_Parameters[[#All],[Vehicle type]],0))</f>
        <v>73.791359999999997</v>
      </c>
      <c r="D77" s="470">
        <f>INDEX(Misc_Ops_Parameters[[#All],[Misc. vehicle cost]],MATCH(Calculatie!$B$2,Misc_Ops_Parameters[[#All],[Vehicle type]],0))</f>
        <v>73.791359999999997</v>
      </c>
      <c r="E77" s="448">
        <f>INDEX(Misc_Ops_Parameters[[#All],[Misc. vehicle cost]],MATCH(Calculatie!$B$2,Misc_Ops_Parameters[[#All],[Vehicle type]],0))</f>
        <v>73.791359999999997</v>
      </c>
      <c r="F77" s="39"/>
      <c r="G77" s="55"/>
      <c r="H77" s="33"/>
      <c r="I77" s="25"/>
    </row>
    <row r="78" spans="1:9" ht="11.25" thickBot="1" x14ac:dyDescent="0.2">
      <c r="A78" s="145" t="str">
        <f>+Config!B85</f>
        <v>a: Totale vaste voertuigkosten per jaar</v>
      </c>
      <c r="B78" s="81"/>
      <c r="C78" s="72">
        <f>SUM(C72:C77)</f>
        <v>8600.4777991373412</v>
      </c>
      <c r="D78" s="471">
        <f>SUM(D72:D77)</f>
        <v>14927.357407518604</v>
      </c>
      <c r="E78" s="449">
        <f>SUM(E72:E77)</f>
        <v>24016.249497649605</v>
      </c>
      <c r="F78" s="39"/>
      <c r="G78" s="55"/>
      <c r="H78" s="33"/>
      <c r="I78" s="25"/>
    </row>
    <row r="79" spans="1:9" ht="11.25" thickBot="1" x14ac:dyDescent="0.2">
      <c r="A79" s="73" t="s">
        <v>87</v>
      </c>
      <c r="B79" s="58"/>
      <c r="C79" s="74"/>
      <c r="D79" s="74"/>
      <c r="E79" s="74"/>
      <c r="F79" s="39"/>
      <c r="G79" s="55"/>
      <c r="H79" s="33"/>
      <c r="I79" s="25"/>
    </row>
    <row r="80" spans="1:9" x14ac:dyDescent="0.15">
      <c r="A80" s="165" t="str">
        <f>+Config!B87</f>
        <v>Variabele kosten per jaar</v>
      </c>
      <c r="B80" s="444"/>
      <c r="C80" s="75"/>
      <c r="D80" s="472"/>
      <c r="E80" s="453"/>
      <c r="F80" s="33"/>
      <c r="G80" s="33"/>
      <c r="H80" s="33"/>
      <c r="I80" s="25"/>
    </row>
    <row r="81" spans="1:9" x14ac:dyDescent="0.15">
      <c r="A81" s="166" t="str">
        <f>+Config!B88</f>
        <v>Afschrijving voertuig</v>
      </c>
      <c r="B81" s="58"/>
      <c r="C81" s="71">
        <f>(Calculatie!B50-Calculatie!B39)/Calculatie!B14</f>
        <v>14526.688264521286</v>
      </c>
      <c r="D81" s="470">
        <f>(Calculatie!C50-Calculatie!C39)/Calculatie!C14</f>
        <v>27460.658345030788</v>
      </c>
      <c r="E81" s="448">
        <f>(Calculatie!D50-Calculatie!D39)/Calculatie!D14</f>
        <v>45157.385511835004</v>
      </c>
      <c r="F81" s="39"/>
      <c r="G81" s="33"/>
      <c r="H81" s="33"/>
      <c r="I81" s="25"/>
    </row>
    <row r="82" spans="1:9" x14ac:dyDescent="0.15">
      <c r="A82" s="166" t="str">
        <f>+Config!B89</f>
        <v>Brandstofverbruik voertuig</v>
      </c>
      <c r="B82" s="58"/>
      <c r="C82" s="71">
        <f>Calculatie!B75</f>
        <v>39530.345383458705</v>
      </c>
      <c r="D82" s="470">
        <v>0</v>
      </c>
      <c r="E82" s="448">
        <v>0</v>
      </c>
      <c r="F82" s="39"/>
      <c r="G82" s="33"/>
      <c r="H82" s="33"/>
      <c r="I82" s="25"/>
    </row>
    <row r="83" spans="1:9" x14ac:dyDescent="0.15">
      <c r="A83" s="166" t="str">
        <f>+Config!B90</f>
        <v>Brandstofverbruik koeling</v>
      </c>
      <c r="B83" s="58"/>
      <c r="C83" s="71">
        <f>Calculatie!B76</f>
        <v>0</v>
      </c>
      <c r="D83" s="470">
        <v>0</v>
      </c>
      <c r="E83" s="448">
        <v>0</v>
      </c>
      <c r="F83" s="39"/>
      <c r="G83" s="33"/>
      <c r="H83" s="33"/>
      <c r="I83" s="25"/>
    </row>
    <row r="84" spans="1:9" x14ac:dyDescent="0.15">
      <c r="A84" s="166" t="str">
        <f>+Config!B91</f>
        <v>Elektriciteitsverbruik</v>
      </c>
      <c r="B84" s="58"/>
      <c r="C84" s="71">
        <v>0</v>
      </c>
      <c r="D84" s="470">
        <f>Calculatie!C77</f>
        <v>30084.106073879189</v>
      </c>
      <c r="E84" s="448">
        <v>0</v>
      </c>
      <c r="F84" s="39"/>
      <c r="G84" s="55"/>
      <c r="H84" s="33"/>
      <c r="I84" s="25"/>
    </row>
    <row r="85" spans="1:9" x14ac:dyDescent="0.15">
      <c r="A85" s="166" t="str">
        <f>+Config!B92</f>
        <v>H2 verbruik</v>
      </c>
      <c r="B85" s="58"/>
      <c r="C85" s="71">
        <v>0</v>
      </c>
      <c r="D85" s="470">
        <v>0</v>
      </c>
      <c r="E85" s="448">
        <f>Calculatie!D77</f>
        <v>62182.551555815109</v>
      </c>
      <c r="F85" s="39"/>
      <c r="G85" s="55"/>
      <c r="H85" s="33"/>
      <c r="I85" s="25"/>
    </row>
    <row r="86" spans="1:9" x14ac:dyDescent="0.15">
      <c r="A86" s="166" t="str">
        <f>+Config!B93</f>
        <v>Adblue verbruik</v>
      </c>
      <c r="B86" s="58"/>
      <c r="C86" s="71">
        <f>Calculatie!B67</f>
        <v>380.30615112246045</v>
      </c>
      <c r="D86" s="470">
        <v>0</v>
      </c>
      <c r="E86" s="448">
        <v>0</v>
      </c>
      <c r="F86" s="39"/>
      <c r="G86" s="55"/>
      <c r="H86" s="33"/>
      <c r="I86" s="25"/>
    </row>
    <row r="87" spans="1:9" x14ac:dyDescent="0.15">
      <c r="A87" s="166" t="str">
        <f>+Config!B94</f>
        <v>Banden</v>
      </c>
      <c r="B87" s="58"/>
      <c r="C87" s="71">
        <f>INDEX(Misc_Ops_Parameters[[#All],[Tires cost (€/km)]],MATCH(Calculatie!$B$2,Misc_Ops_Parameters[[#All],[Vehicle type]],0))*Calculatie!$B$5</f>
        <v>1569.1838400000001</v>
      </c>
      <c r="D87" s="470">
        <f>INDEX(Misc_Ops_Parameters[[#All],[Tires cost (€/km)]],MATCH(Calculatie!$B$2,Misc_Ops_Parameters[[#All],[Vehicle type]],0))*Calculatie!$B$5</f>
        <v>1569.1838400000001</v>
      </c>
      <c r="E87" s="448">
        <f>INDEX(Misc_Ops_Parameters[[#All],[Tires cost (€/km)]],MATCH(Calculatie!$B$2,Misc_Ops_Parameters[[#All],[Vehicle type]],0))*Calculatie!$B$5</f>
        <v>1569.1838400000001</v>
      </c>
      <c r="F87" s="39"/>
      <c r="G87" s="55"/>
      <c r="H87" s="33"/>
      <c r="I87" s="25"/>
    </row>
    <row r="88" spans="1:9" x14ac:dyDescent="0.15">
      <c r="A88" s="166" t="str">
        <f>+Config!B95</f>
        <v>Onderhoud</v>
      </c>
      <c r="B88" s="58"/>
      <c r="C88" s="71">
        <f>INDEX(VehicleCatalogus[[#All],[Maintenance costs]],MATCH(Calculatie!$B$29,VehicleCatalogus[[#All],[ID]],0))*Calculatie!$B$5</f>
        <v>4398.366</v>
      </c>
      <c r="D88" s="470">
        <f>INDEX(VehicleCatalogus[[#All],[Maintenance costs]],MATCH(Calculatie!$C$29,VehicleCatalogus[[#All],[ID]],0))*Calculatie!$B$5</f>
        <v>2199.183</v>
      </c>
      <c r="E88" s="448">
        <f>INDEX(VehicleCatalogus[[#All],[Maintenance costs]],MATCH(Calculatie!$D$29,VehicleCatalogus[[#All],[ID]],0))*Calculatie!$B$5</f>
        <v>6597.5489999999991</v>
      </c>
      <c r="F88" s="39"/>
      <c r="G88" s="55"/>
      <c r="H88" s="33"/>
      <c r="I88" s="25"/>
    </row>
    <row r="89" spans="1:9" x14ac:dyDescent="0.15">
      <c r="A89" s="166" t="str">
        <f>+Config!B96</f>
        <v>Reparatie</v>
      </c>
      <c r="B89" s="58"/>
      <c r="C89" s="71">
        <f>Calculatie!B107</f>
        <v>1000</v>
      </c>
      <c r="D89" s="470">
        <f>Calculatie!C107</f>
        <v>1000</v>
      </c>
      <c r="E89" s="448">
        <f>Calculatie!D107</f>
        <v>3000</v>
      </c>
      <c r="F89" s="39"/>
      <c r="G89" s="55"/>
      <c r="H89" s="33"/>
      <c r="I89" s="25"/>
    </row>
    <row r="90" spans="1:9" x14ac:dyDescent="0.15">
      <c r="A90" s="166" t="str">
        <f>+Config!B97</f>
        <v>Reparatie/onderhoud koelunit</v>
      </c>
      <c r="B90" s="58"/>
      <c r="C90" s="71">
        <f>INDEX(Misc_Ops_Parameters[[#All],[Refrigeration maintenance cost]],MATCH(Calculatie!$B$2,Misc_Ops_Parameters[[#All],[Vehicle type]],0))*IF(Calculatie!$B$4="gekoeld",Calculatie!B17,0)</f>
        <v>0</v>
      </c>
      <c r="D90" s="470">
        <f>INDEX(Misc_Ops_Parameters[[#All],[Refrigeration maintenance cost]],MATCH(Calculatie!$B$2,Misc_Ops_Parameters[[#All],[Vehicle type]],0))*IF(Calculatie!$B$4="gekoeld",Calculatie!C17,0)</f>
        <v>0</v>
      </c>
      <c r="E90" s="448">
        <f>INDEX(Misc_Ops_Parameters[[#All],[Refrigeration maintenance cost]],MATCH(Calculatie!$B$2,Misc_Ops_Parameters[[#All],[Vehicle type]],0))*IF(Calculatie!$B$4="gekoeld",Calculatie!D17,0)</f>
        <v>0</v>
      </c>
      <c r="F90" s="39"/>
      <c r="G90" s="55"/>
      <c r="H90" s="33"/>
      <c r="I90" s="25"/>
    </row>
    <row r="91" spans="1:9" x14ac:dyDescent="0.15">
      <c r="A91" s="166" t="str">
        <f>+Config!B98</f>
        <v>Verschil Tolheffing (km-tarief)</v>
      </c>
      <c r="B91" s="58"/>
      <c r="C91" s="71">
        <f>Calculatie!B87</f>
        <v>0</v>
      </c>
      <c r="D91" s="470">
        <v>0</v>
      </c>
      <c r="E91" s="448">
        <v>0</v>
      </c>
      <c r="F91" s="39"/>
      <c r="G91" s="55"/>
      <c r="H91" s="33"/>
      <c r="I91" s="25"/>
    </row>
    <row r="92" spans="1:9" x14ac:dyDescent="0.15">
      <c r="A92" s="164" t="str">
        <f>+Config!B155</f>
        <v>CO2-prijs</v>
      </c>
      <c r="B92" s="58"/>
      <c r="C92" s="71">
        <f>IF(OR($H$39="J",$H$39="Y"),co2_price*C$65,0)</f>
        <v>0</v>
      </c>
      <c r="D92" s="470">
        <f>IF(OR($H$39="J",$H$39="Y"),co2_price*D$65,0)</f>
        <v>0</v>
      </c>
      <c r="E92" s="448">
        <f>IF(OR($H$39="J",$H$39="Y"),co2_price*E$65,0)</f>
        <v>0</v>
      </c>
      <c r="F92" s="39"/>
      <c r="G92" s="55"/>
      <c r="H92" s="33"/>
      <c r="I92" s="25"/>
    </row>
    <row r="93" spans="1:9" x14ac:dyDescent="0.15">
      <c r="A93" s="164" t="str">
        <f>+Config!B62</f>
        <v>Hernieuwbare Brandstof-Eenheden (HBE's)</v>
      </c>
      <c r="B93" s="58"/>
      <c r="C93" s="71">
        <v>0</v>
      </c>
      <c r="D93" s="470">
        <f>IF(OR($G$43="J",$G$43="Y"),$G$47*-1,0)</f>
        <v>0</v>
      </c>
      <c r="E93" s="448">
        <f>IF(OR($G$43="J",$G$43="Y"),$H$47*-1,0)</f>
        <v>0</v>
      </c>
      <c r="F93" s="39"/>
      <c r="G93" s="55"/>
      <c r="H93" s="33"/>
      <c r="I93" s="25"/>
    </row>
    <row r="94" spans="1:9" x14ac:dyDescent="0.15">
      <c r="A94" s="166" t="str">
        <f>+Config!B100</f>
        <v xml:space="preserve">Specifieke vervoerskosten </v>
      </c>
      <c r="B94" s="58"/>
      <c r="C94" s="71">
        <f>INDEX(Misc_Ops_Parameters[[#All],[Special transport costs]],MATCH(Calculatie!$B$2,Misc_Ops_Parameters[[#All],[Vehicle type]],0))</f>
        <v>399.10124999999999</v>
      </c>
      <c r="D94" s="470">
        <f>INDEX(Misc_Ops_Parameters[[#All],[Special transport costs]],MATCH(Calculatie!$B$2,Misc_Ops_Parameters[[#All],[Vehicle type]],0))</f>
        <v>399.10124999999999</v>
      </c>
      <c r="E94" s="448">
        <f>INDEX(Misc_Ops_Parameters[[#All],[Special transport costs]],MATCH(Calculatie!$B$2,Misc_Ops_Parameters[[#All],[Vehicle type]],0))</f>
        <v>399.10124999999999</v>
      </c>
      <c r="F94" s="33"/>
      <c r="G94" s="33"/>
      <c r="H94" s="33"/>
      <c r="I94" s="25"/>
    </row>
    <row r="95" spans="1:9" ht="11.25" thickBot="1" x14ac:dyDescent="0.2">
      <c r="A95" s="146" t="str">
        <f>+Config!B101</f>
        <v>b: Totale variabele voertuigkosten per jaar</v>
      </c>
      <c r="B95" s="81"/>
      <c r="C95" s="72">
        <f>SUM(C81:C94)</f>
        <v>61803.990889102446</v>
      </c>
      <c r="D95" s="471">
        <f>SUM(D81:D94)</f>
        <v>62712.232508909976</v>
      </c>
      <c r="E95" s="449">
        <f>SUM(E81:E94)</f>
        <v>118905.77115765012</v>
      </c>
      <c r="F95" s="33"/>
      <c r="G95" s="33"/>
      <c r="H95" s="33"/>
      <c r="I95" s="25"/>
    </row>
    <row r="96" spans="1:9" ht="11.25" thickBot="1" x14ac:dyDescent="0.2">
      <c r="A96" s="73" t="s">
        <v>104</v>
      </c>
      <c r="B96" s="58"/>
      <c r="C96" s="74"/>
      <c r="D96" s="74"/>
      <c r="E96" s="74"/>
      <c r="F96" s="33"/>
      <c r="G96" s="33"/>
      <c r="H96" s="33"/>
      <c r="I96" s="25"/>
    </row>
    <row r="97" spans="1:9" x14ac:dyDescent="0.15">
      <c r="A97" s="169" t="str">
        <f>+Config!B103</f>
        <v>Kosten oplaadsysteem per jaar</v>
      </c>
      <c r="B97" s="444"/>
      <c r="C97" s="75"/>
      <c r="D97" s="472"/>
      <c r="E97" s="453"/>
      <c r="F97" s="33"/>
      <c r="G97" s="33"/>
      <c r="H97" s="33"/>
      <c r="I97" s="25"/>
    </row>
    <row r="98" spans="1:9" x14ac:dyDescent="0.15">
      <c r="A98" s="166" t="str">
        <f>+Config!B104</f>
        <v>Aankoop en installatie</v>
      </c>
      <c r="B98" s="58"/>
      <c r="C98" s="71">
        <v>0</v>
      </c>
      <c r="D98" s="470">
        <f>C38/Parameters!$B$21</f>
        <v>2921.55</v>
      </c>
      <c r="E98" s="448">
        <v>0</v>
      </c>
      <c r="F98" s="33"/>
      <c r="G98" s="33"/>
      <c r="H98" s="33"/>
      <c r="I98" s="25"/>
    </row>
    <row r="99" spans="1:9" x14ac:dyDescent="0.15">
      <c r="A99" s="166" t="str">
        <f>+Config!B105</f>
        <v>Operationele kosten</v>
      </c>
      <c r="B99" s="58"/>
      <c r="C99" s="71">
        <v>0</v>
      </c>
      <c r="D99" s="470">
        <f>INDEX(Laadinfra[[#All],[Operational costs annual (€)]],MATCH('M1-PowerSupply'!$B$38,Laadinfra[[#All],[Charging type]],0))</f>
        <v>3949.25</v>
      </c>
      <c r="E99" s="448">
        <v>0</v>
      </c>
      <c r="F99" s="33"/>
      <c r="G99" s="33"/>
      <c r="H99" s="33"/>
      <c r="I99" s="25"/>
    </row>
    <row r="100" spans="1:9" ht="11.25" thickBot="1" x14ac:dyDescent="0.2">
      <c r="A100" s="147" t="str">
        <f>+Config!B106</f>
        <v>c: Totale kosten oplaadsysteem per jaar</v>
      </c>
      <c r="B100" s="81"/>
      <c r="C100" s="72">
        <f>SUM(C98:C99)</f>
        <v>0</v>
      </c>
      <c r="D100" s="471">
        <f>SUM(D98:D99)</f>
        <v>6870.8</v>
      </c>
      <c r="E100" s="449">
        <f>SUM(E98:E99)</f>
        <v>0</v>
      </c>
      <c r="F100" s="33"/>
      <c r="G100" s="33"/>
      <c r="H100" s="33"/>
      <c r="I100" s="25"/>
    </row>
    <row r="101" spans="1:9" ht="11.25" thickBot="1" x14ac:dyDescent="0.2">
      <c r="A101" s="73"/>
      <c r="B101" s="58"/>
      <c r="C101" s="74"/>
      <c r="D101" s="74"/>
      <c r="E101" s="74"/>
      <c r="F101" s="33"/>
      <c r="G101" s="33"/>
      <c r="H101" s="33"/>
      <c r="I101" s="25"/>
    </row>
    <row r="102" spans="1:9" x14ac:dyDescent="0.15">
      <c r="A102" s="149" t="str">
        <f>+Config!B107</f>
        <v xml:space="preserve">Totale voertuig en oplaadsysteemkosten per jaar (a+b+c) </v>
      </c>
      <c r="B102" s="444"/>
      <c r="C102" s="76">
        <f>SUM(C78,C95,C100)</f>
        <v>70404.46868823978</v>
      </c>
      <c r="D102" s="473">
        <f>SUM(D78,D95,D100)</f>
        <v>84510.389916428583</v>
      </c>
      <c r="E102" s="450">
        <f>SUM(E78,E95,E100)</f>
        <v>142922.02065529971</v>
      </c>
      <c r="F102" s="33"/>
      <c r="G102" s="33"/>
      <c r="H102" s="33"/>
      <c r="I102" s="25"/>
    </row>
    <row r="103" spans="1:9" x14ac:dyDescent="0.15">
      <c r="A103" s="150" t="str">
        <f>+Config!B108</f>
        <v>Totale voertuig en oplaadsysteemkosten per km: (a+b+c)/kms per jaar</v>
      </c>
      <c r="B103" s="58"/>
      <c r="C103" s="66">
        <f>C$102/Calculatie!$B$5</f>
        <v>1.0057781241177111</v>
      </c>
      <c r="D103" s="466">
        <f>D$102/Calculatie!$B$5</f>
        <v>1.2072912845204082</v>
      </c>
      <c r="E103" s="451">
        <f>E$102/Calculatie!$B$5</f>
        <v>2.0417431522185674</v>
      </c>
      <c r="F103" s="33"/>
      <c r="G103" s="33"/>
      <c r="H103" s="33"/>
      <c r="I103" s="25"/>
    </row>
    <row r="104" spans="1:9" ht="11.25" thickBot="1" x14ac:dyDescent="0.2">
      <c r="A104" s="148" t="str">
        <f>+Config!B109</f>
        <v>Totale voertuig en oplaadsysteemkosten per uur (a+b+c)/uren per jaar</v>
      </c>
      <c r="B104" s="81"/>
      <c r="C104" s="67">
        <f>C$102/Calculatie!B17</f>
        <v>27.078641803169145</v>
      </c>
      <c r="D104" s="467">
        <f>D$102/Calculatie!C17</f>
        <v>32.503996121703302</v>
      </c>
      <c r="E104" s="452">
        <f>E$102/Calculatie!D17</f>
        <v>54.970007944346044</v>
      </c>
      <c r="F104" s="33"/>
      <c r="G104" s="33"/>
      <c r="H104" s="33"/>
      <c r="I104" s="25"/>
    </row>
    <row r="105" spans="1:9" ht="11.25" thickBot="1" x14ac:dyDescent="0.2">
      <c r="A105" s="77"/>
      <c r="B105" s="58"/>
      <c r="C105" s="78"/>
      <c r="D105" s="78"/>
      <c r="E105" s="78"/>
      <c r="F105" s="33"/>
      <c r="G105" s="33"/>
      <c r="H105" s="33"/>
      <c r="I105" s="25"/>
    </row>
    <row r="106" spans="1:9" x14ac:dyDescent="0.15">
      <c r="A106" s="149" t="str">
        <f>+Config!B110</f>
        <v>Chauffeurskosten</v>
      </c>
      <c r="B106" s="444"/>
      <c r="C106" s="79"/>
      <c r="D106" s="474"/>
      <c r="E106" s="447"/>
      <c r="F106" s="33"/>
      <c r="G106" s="33"/>
      <c r="H106" s="33"/>
      <c r="I106" s="25"/>
    </row>
    <row r="107" spans="1:9" x14ac:dyDescent="0.15">
      <c r="A107" s="166" t="str">
        <f>+Config!B111</f>
        <v>Uurloon incl. sociale lasten</v>
      </c>
      <c r="B107" s="445">
        <f>Parameters!B40</f>
        <v>29.09</v>
      </c>
      <c r="C107" s="71">
        <f>$B107*Calculatie!$B$17</f>
        <v>75634</v>
      </c>
      <c r="D107" s="470">
        <f>$B107*(Calculatie!$C$17+(Calculatie!$C$16*'M1-PowerSupply'!$B$52))</f>
        <v>79515.43863495742</v>
      </c>
      <c r="E107" s="448">
        <f>$B107*Calculatie!$D$17</f>
        <v>75634</v>
      </c>
      <c r="F107" s="33"/>
      <c r="G107" s="33"/>
      <c r="H107" s="33"/>
      <c r="I107" s="25"/>
    </row>
    <row r="108" spans="1:9" x14ac:dyDescent="0.15">
      <c r="A108" s="166" t="str">
        <f>+Config!B112</f>
        <v>Verblijfkostenvergoeding</v>
      </c>
      <c r="B108" s="445">
        <f>Parameters!B41</f>
        <v>0.9</v>
      </c>
      <c r="C108" s="71">
        <f>$B108*Calculatie!$B$17</f>
        <v>2340</v>
      </c>
      <c r="D108" s="470">
        <f>$B108*(Calculatie!$C$17+(Calculatie!$C$16*'M1-PowerSupply'!$B$52))</f>
        <v>2460.0857604490093</v>
      </c>
      <c r="E108" s="448">
        <f>$B108*Calculatie!$D$17</f>
        <v>2340</v>
      </c>
      <c r="F108" s="33"/>
      <c r="G108" s="33"/>
      <c r="H108" s="33"/>
      <c r="I108" s="25"/>
    </row>
    <row r="109" spans="1:9" x14ac:dyDescent="0.15">
      <c r="A109" s="166" t="str">
        <f>+Config!B113</f>
        <v>Overige kosten</v>
      </c>
      <c r="B109" s="445">
        <f>Parameters!B42</f>
        <v>0.49</v>
      </c>
      <c r="C109" s="71">
        <f>$B109*Calculatie!$B$17</f>
        <v>1274</v>
      </c>
      <c r="D109" s="470">
        <f>$B109*(Calculatie!$C$17+(Calculatie!$C$16*'M1-PowerSupply'!$B$52))</f>
        <v>1339.3800251333494</v>
      </c>
      <c r="E109" s="448">
        <f>$B109*Calculatie!$D$17</f>
        <v>1274</v>
      </c>
      <c r="F109" s="33"/>
      <c r="G109" s="33"/>
      <c r="H109" s="33"/>
      <c r="I109" s="25"/>
    </row>
    <row r="110" spans="1:9" ht="11.25" thickBot="1" x14ac:dyDescent="0.2">
      <c r="A110" s="148" t="str">
        <f>+Config!B114</f>
        <v>d: Totale chauffeurskosten per jaar</v>
      </c>
      <c r="B110" s="81"/>
      <c r="C110" s="72">
        <f>SUM(C107:C109)</f>
        <v>79248</v>
      </c>
      <c r="D110" s="471">
        <f>SUM(D107:D109)</f>
        <v>83314.90442053978</v>
      </c>
      <c r="E110" s="449">
        <f>SUM(E107:E109)</f>
        <v>79248</v>
      </c>
      <c r="F110" s="33"/>
      <c r="G110" s="33"/>
      <c r="H110" s="33"/>
      <c r="I110" s="25"/>
    </row>
    <row r="111" spans="1:9" ht="11.25" thickBot="1" x14ac:dyDescent="0.2">
      <c r="A111" s="57"/>
      <c r="B111" s="58"/>
      <c r="C111" s="78"/>
      <c r="D111" s="78"/>
      <c r="E111" s="78"/>
      <c r="F111" s="33"/>
      <c r="G111" s="33"/>
      <c r="H111" s="33"/>
      <c r="I111" s="25"/>
    </row>
    <row r="112" spans="1:9" x14ac:dyDescent="0.15">
      <c r="A112" s="151" t="str">
        <f>+Config!B115</f>
        <v>Totale directe kosten per jaar (a+b+c+d)</v>
      </c>
      <c r="B112" s="444"/>
      <c r="C112" s="76">
        <f>SUM(C102,C110)</f>
        <v>149652.46868823978</v>
      </c>
      <c r="D112" s="473">
        <f>SUM(D102,D110)</f>
        <v>167825.29433696836</v>
      </c>
      <c r="E112" s="450">
        <f>SUM(E102,E110)</f>
        <v>222170.02065529971</v>
      </c>
      <c r="F112" s="33"/>
      <c r="G112" s="33"/>
      <c r="H112" s="33"/>
      <c r="I112" s="25"/>
    </row>
    <row r="113" spans="1:9" x14ac:dyDescent="0.15">
      <c r="A113" s="152" t="str">
        <f>+Config!B116</f>
        <v>Totale directe kosten per km: (a+b+c+d)/kms per jaar</v>
      </c>
      <c r="B113" s="58"/>
      <c r="C113" s="66">
        <f>C$112/Calculatie!$B$5</f>
        <v>2.1378924098319967</v>
      </c>
      <c r="D113" s="466">
        <f>D$112/Calculatie!$B$5</f>
        <v>2.397504204813834</v>
      </c>
      <c r="E113" s="451">
        <f>E$112/Calculatie!$B$5</f>
        <v>3.173857437932853</v>
      </c>
      <c r="F113" s="33"/>
      <c r="G113" s="33"/>
      <c r="H113" s="33"/>
      <c r="I113" s="25"/>
    </row>
    <row r="114" spans="1:9" ht="11.25" thickBot="1" x14ac:dyDescent="0.2">
      <c r="A114" s="153" t="str">
        <f>+Config!B117</f>
        <v>Totale directe kosten per uur (a+b+c+d)/uren per jaar</v>
      </c>
      <c r="B114" s="81"/>
      <c r="C114" s="67">
        <f>C$112/Calculatie!B17</f>
        <v>57.558641803169145</v>
      </c>
      <c r="D114" s="467">
        <f>D$112/Calculatie!C17</f>
        <v>64.548190129603213</v>
      </c>
      <c r="E114" s="452">
        <f>E$112/Calculatie!D17</f>
        <v>85.450007944346041</v>
      </c>
      <c r="F114" s="33"/>
      <c r="G114" s="33"/>
      <c r="H114" s="33"/>
      <c r="I114" s="25"/>
    </row>
    <row r="115" spans="1:9" ht="11.25" thickBot="1" x14ac:dyDescent="0.2">
      <c r="A115" s="57"/>
      <c r="B115" s="58"/>
      <c r="C115" s="78"/>
      <c r="D115" s="78"/>
      <c r="E115" s="78"/>
      <c r="F115" s="33"/>
      <c r="G115" s="33"/>
      <c r="H115" s="33"/>
      <c r="I115" s="25"/>
    </row>
    <row r="116" spans="1:9" x14ac:dyDescent="0.15">
      <c r="A116" s="149" t="str">
        <f>+Config!B118</f>
        <v>Algemene kosten (overhead)</v>
      </c>
      <c r="B116" s="444"/>
      <c r="C116" s="79"/>
      <c r="D116" s="474"/>
      <c r="E116" s="447"/>
      <c r="F116" s="33"/>
      <c r="G116" s="33"/>
      <c r="H116" s="33"/>
      <c r="I116" s="25"/>
    </row>
    <row r="117" spans="1:9" x14ac:dyDescent="0.15">
      <c r="A117" s="166" t="str">
        <f>+Config!B119</f>
        <v>Loon incl. sociale lasten</v>
      </c>
      <c r="B117" s="446">
        <f>Parameters!B44</f>
        <v>9.4E-2</v>
      </c>
      <c r="C117" s="71">
        <f>$B117*C$112</f>
        <v>14067.332056694539</v>
      </c>
      <c r="D117" s="470">
        <f t="shared" ref="D117:E119" si="1">$B117*D$112</f>
        <v>15775.577667675027</v>
      </c>
      <c r="E117" s="448">
        <f t="shared" si="1"/>
        <v>20883.981941598173</v>
      </c>
      <c r="F117" s="33"/>
      <c r="G117" s="33"/>
      <c r="H117" s="33"/>
      <c r="I117" s="25"/>
    </row>
    <row r="118" spans="1:9" x14ac:dyDescent="0.15">
      <c r="A118" s="166" t="str">
        <f>+Config!B120</f>
        <v>Huisvesting</v>
      </c>
      <c r="B118" s="446">
        <f>Parameters!B45</f>
        <v>2.9000000000000001E-2</v>
      </c>
      <c r="C118" s="71">
        <f>$B118*C$112</f>
        <v>4339.9215919589542</v>
      </c>
      <c r="D118" s="470">
        <f t="shared" si="1"/>
        <v>4866.9335357720829</v>
      </c>
      <c r="E118" s="448">
        <f t="shared" si="1"/>
        <v>6442.9305990036919</v>
      </c>
      <c r="F118" s="33"/>
      <c r="G118" s="33"/>
      <c r="H118" s="33"/>
      <c r="I118" s="25"/>
    </row>
    <row r="119" spans="1:9" x14ac:dyDescent="0.15">
      <c r="A119" s="166" t="str">
        <f>+Config!B121</f>
        <v>Overig</v>
      </c>
      <c r="B119" s="446">
        <f>Parameters!B46</f>
        <v>5.6000000000000001E-2</v>
      </c>
      <c r="C119" s="71">
        <f>$B119*C$112</f>
        <v>8380.5382465414277</v>
      </c>
      <c r="D119" s="470">
        <f t="shared" si="1"/>
        <v>9398.216482870228</v>
      </c>
      <c r="E119" s="448">
        <f t="shared" si="1"/>
        <v>12441.521156696785</v>
      </c>
      <c r="F119" s="35"/>
      <c r="G119" s="33"/>
      <c r="H119" s="33"/>
      <c r="I119" s="25"/>
    </row>
    <row r="120" spans="1:9" ht="11.25" thickBot="1" x14ac:dyDescent="0.2">
      <c r="A120" s="148" t="str">
        <f>+Config!B122</f>
        <v>e: Totale overhead per jaar</v>
      </c>
      <c r="B120" s="81"/>
      <c r="C120" s="72">
        <f>SUM(C117:C119)</f>
        <v>26787.791895194918</v>
      </c>
      <c r="D120" s="471">
        <f>SUM(D117:D119)</f>
        <v>30040.727686317339</v>
      </c>
      <c r="E120" s="449">
        <f>SUM(E117:E119)</f>
        <v>39768.433697298649</v>
      </c>
      <c r="F120" s="33"/>
      <c r="G120" s="33"/>
      <c r="H120" s="33"/>
      <c r="I120" s="25"/>
    </row>
    <row r="121" spans="1:9" ht="11.25" thickBot="1" x14ac:dyDescent="0.2">
      <c r="A121" s="80"/>
      <c r="B121" s="81"/>
      <c r="C121" s="82"/>
      <c r="D121" s="82"/>
      <c r="E121" s="82"/>
      <c r="F121" s="49"/>
      <c r="G121" s="49"/>
      <c r="H121" s="49"/>
      <c r="I121" s="50"/>
    </row>
  </sheetData>
  <dataConsolidate/>
  <mergeCells count="4">
    <mergeCell ref="C5:E8"/>
    <mergeCell ref="F10:F11"/>
    <mergeCell ref="G10:G11"/>
    <mergeCell ref="G41:H41"/>
  </mergeCells>
  <conditionalFormatting sqref="D51">
    <cfRule type="cellIs" dxfId="27" priority="3" operator="equal">
      <formula>"Vehicle technology insufficient"</formula>
    </cfRule>
  </conditionalFormatting>
  <conditionalFormatting sqref="C14:C15 C17:C19 C21">
    <cfRule type="cellIs" dxfId="26" priority="1" operator="equal">
      <formula>"*"</formula>
    </cfRule>
  </conditionalFormatting>
  <dataValidations count="7">
    <dataValidation type="decimal" showInputMessage="1" showErrorMessage="1" promptTitle="Default value" prompt="€ 18,00" sqref="K46" xr:uid="{00000000-0002-0000-0100-000000000000}">
      <formula1>0</formula1>
      <formula2>90000000</formula2>
    </dataValidation>
    <dataValidation type="decimal" showInputMessage="1" showErrorMessage="1" promptTitle="Default value" prompt="0,26" sqref="K45" xr:uid="{00000000-0002-0000-0100-000001000000}">
      <formula1>0</formula1>
      <formula2>90000000</formula2>
    </dataValidation>
    <dataValidation type="decimal" showInputMessage="1" showErrorMessage="1" promptTitle="Default value" prompt="€ 10,00" sqref="E46" xr:uid="{00000000-0002-0000-0100-000002000000}">
      <formula1>0</formula1>
      <formula2>90000000</formula2>
    </dataValidation>
    <dataValidation type="whole" showInputMessage="1" showErrorMessage="1" errorTitle="Invalide jaartal" error="Vul een jaartal in tussen 2020 en 2050" sqref="B20" xr:uid="{00000000-0002-0000-0100-000003000000}">
      <formula1>2020</formula1>
      <formula2>2050</formula2>
    </dataValidation>
    <dataValidation type="whole" operator="greaterThan" allowBlank="1" showInputMessage="1" showErrorMessage="1" errorTitle="Ongeldige waarde" error="Vul een geheel getal in groter dan 0" sqref="B16 E14:E17 F14:G15 F17:G18 C29:D29 C35:C36 G45 H45" xr:uid="{00000000-0002-0000-0100-000004000000}">
      <formula1>0</formula1>
    </dataValidation>
    <dataValidation allowBlank="1" showInputMessage="1" showErrorMessage="1" promptTitle="Koeling" prompt="Een koeling is enkel relevant voor bakwagens. Voor trekkers worden daarom geen (energie)kosten voor koeling meegenomen." sqref="A15" xr:uid="{00000000-0002-0000-0100-000005000000}"/>
    <dataValidation type="decimal" operator="greaterThan" allowBlank="1" showInputMessage="1" showErrorMessage="1" errorTitle="Ongeldige waarde" error="Vul een geheel getal in groter dan 0" sqref="C44 G28:G29 D44 C45 D45 G46 H46" xr:uid="{00000000-0002-0000-0100-000006000000}">
      <formula1>0</formula1>
    </dataValidation>
  </dataValidations>
  <pageMargins left="0.7" right="0.7" top="0.75" bottom="0.75" header="0.3" footer="0.3"/>
  <pageSetup paperSize="9" scale="54" orientation="landscape" r:id="rId1"/>
  <ignoredErrors>
    <ignoredError sqref="A14 D14:D18 E13:G13 D21:D23 B28:B32 F28:F30 B44:B46 C43:E43 B35:B38 C38 F33:H33 F44:H44 F41 F42 H41 G42:H42 G41 A28:A44 D12 A12 E19:G20 C11 H28:H30 F16:G16 E18 E23 E21 G21 E22 F36 F34 F35 H35 F38 F37 F40:H40 F39 F43 A16:A21 H36 H38 F47:H47 F45 H45 F46" unlockedFormula="1"/>
    <ignoredError sqref="C16"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et">
                <anchor moveWithCells="1" sizeWithCells="1">
                  <from>
                    <xdr:col>2</xdr:col>
                    <xdr:colOff>238125</xdr:colOff>
                    <xdr:row>19</xdr:row>
                    <xdr:rowOff>28575</xdr:rowOff>
                  </from>
                  <to>
                    <xdr:col>2</xdr:col>
                    <xdr:colOff>2000250</xdr:colOff>
                    <xdr:row>21</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2" operator="equal" id="{E2BC5E5B-3072-4899-9491-BA8CA0CA5609}">
            <xm:f>Config!B$197</xm:f>
            <x14:dxf>
              <font>
                <b/>
                <i val="0"/>
                <color rgb="FFC00000"/>
              </font>
            </x14:dxf>
          </x14:cfRule>
          <xm:sqref>B23</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r:uid="{00000000-0002-0000-0100-000007000000}">
          <x14:formula1>
            <xm:f>Config!$B$2:$B$3</xm:f>
          </x14:formula1>
          <xm:sqref>H37 G43:H43 H39 H34</xm:sqref>
        </x14:dataValidation>
        <x14:dataValidation type="list" allowBlank="1" showInputMessage="1" showErrorMessage="1" xr:uid="{00000000-0002-0000-0100-000008000000}">
          <x14:formula1>
            <xm:f>Invoervelden!$C$3:$C$5</xm:f>
          </x14:formula1>
          <xm:sqref>B15</xm:sqref>
        </x14:dataValidation>
        <x14:dataValidation type="list" allowBlank="1" showInputMessage="1" showErrorMessage="1" xr:uid="{00000000-0002-0000-0100-000009000000}">
          <x14:formula1>
            <xm:f>Invoervelden!$B$2:$B$7</xm:f>
          </x14:formula1>
          <xm:sqref>B14</xm:sqref>
        </x14:dataValidation>
        <x14:dataValidation type="list" allowBlank="1" showInputMessage="1" showErrorMessage="1" promptTitle="Toegepaste waarde:" prompt="€0,00" xr:uid="{00000000-0002-0000-0100-00000A000000}">
          <x14:formula1>
            <xm:f>Config!$B$2:$B$3</xm:f>
          </x14:formula1>
          <xm:sqref>C30 D30 C31 D31 C37</xm:sqref>
        </x14:dataValidation>
        <x14:dataValidation type="list" allowBlank="1" showInputMessage="1" showErrorMessage="1" xr:uid="{00000000-0002-0000-0100-00000B000000}">
          <x14:formula1>
            <xm:f>'M1-PowerSupply'!$F$23:$F$26</xm:f>
          </x14:formula1>
          <xm:sqref>G23</xm:sqref>
        </x14:dataValidation>
        <x14:dataValidation type="list" allowBlank="1" showInputMessage="1" showErrorMessage="1" prompt="Groot: &gt;250 fte, &gt;€50 mil omzet_x000a_Middelgroot: &lt;250 fte, &lt;€50 mil omzet_x000a_Klein: &lt;50 fte, &lt;€10 mil omzet_x000a_" xr:uid="{00000000-0002-0000-0100-00000C000000}">
          <x14:formula1>
            <xm:f>Invoervelden!$I$3:$I$6</xm:f>
          </x14:formula1>
          <xm:sqref>B21</xm:sqref>
        </x14:dataValidation>
        <x14:dataValidation type="list" allowBlank="1" showInputMessage="1" showErrorMessage="1" xr:uid="{00000000-0002-0000-0100-00000D000000}">
          <x14:formula1>
            <xm:f>Catalogus!$E$37:$E$42</xm:f>
          </x14:formula1>
          <xm:sqref>F21</xm:sqref>
        </x14:dataValidation>
        <x14:dataValidation type="list" allowBlank="1" showInputMessage="1" showErrorMessage="1" xr:uid="{00000000-0002-0000-0100-00000E000000}">
          <x14:formula1>
            <xm:f>Invoervelden!$F$3:$F$7</xm:f>
          </x14:formula1>
          <xm:sqref>B18</xm:sqref>
        </x14:dataValidation>
        <x14:dataValidation type="list" allowBlank="1" showInputMessage="1" showErrorMessage="1" xr:uid="{00000000-0002-0000-0100-00000F000000}">
          <x14:formula1>
            <xm:f>Invoervelden!$E$3:$E$5</xm:f>
          </x14:formula1>
          <xm:sqref>B17</xm:sqref>
        </x14:dataValidation>
        <x14:dataValidation type="list" allowBlank="1" showInputMessage="1" showErrorMessage="1" xr:uid="{00000000-0002-0000-0100-000010000000}">
          <x14:formula1>
            <xm:f>Invoervelden!$G$3:$G$7</xm:f>
          </x14:formula1>
          <xm:sqref>B19</xm:sqref>
        </x14:dataValidation>
        <x14:dataValidation type="list" allowBlank="1" showInputMessage="1" showErrorMessage="1" xr:uid="{00000000-0002-0000-0100-000011000000}">
          <x14:formula1>
            <xm:f>'M1-PowerSupply'!$B$23:$B$27</xm:f>
          </x14:formula1>
          <xm:sqref>F22</xm:sqref>
        </x14:dataValidation>
        <x14:dataValidation type="list" allowBlank="1" showInputMessage="1" showErrorMessage="1" xr:uid="{00000000-0002-0000-0100-000012000000}">
          <x14:formula1>
            <xm:f>'M1-PowerSupply'!$E$23:$E$26</xm:f>
          </x14:formula1>
          <xm:sqref>G22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theme="9" tint="-0.499984740745262"/>
  </sheetPr>
  <dimension ref="A1:Q97"/>
  <sheetViews>
    <sheetView tabSelected="1" topLeftCell="A4" workbookViewId="0"/>
  </sheetViews>
  <sheetFormatPr defaultColWidth="17.42578125" defaultRowHeight="0" customHeight="1" zeroHeight="1" x14ac:dyDescent="0.15"/>
  <cols>
    <col min="1" max="1" width="8.85546875" style="212" customWidth="1"/>
    <col min="2" max="2" width="3.42578125" style="214" customWidth="1"/>
    <col min="3" max="3" width="49.5703125" style="215" bestFit="1" customWidth="1"/>
    <col min="4" max="4" width="33.85546875" style="214" bestFit="1" customWidth="1"/>
    <col min="5" max="6" width="33.85546875" style="214" customWidth="1"/>
    <col min="7" max="7" width="2.85546875" style="214" customWidth="1"/>
    <col min="8" max="8" width="8.85546875" style="212" customWidth="1"/>
    <col min="9" max="9" width="0" style="205" hidden="1" customWidth="1"/>
    <col min="10" max="17" width="8.85546875" style="212" customWidth="1"/>
    <col min="18" max="16384" width="17.42578125" style="214"/>
  </cols>
  <sheetData>
    <row r="1" spans="2:9" ht="18" customHeight="1" thickBot="1" x14ac:dyDescent="0.2">
      <c r="B1" s="212"/>
      <c r="C1" s="213"/>
      <c r="D1" s="212"/>
      <c r="E1" s="212"/>
      <c r="F1" s="212"/>
      <c r="G1" s="212"/>
      <c r="I1" s="176" t="s">
        <v>484</v>
      </c>
    </row>
    <row r="2" spans="2:9" ht="18" customHeight="1" x14ac:dyDescent="0.15">
      <c r="I2" s="204" t="s">
        <v>473</v>
      </c>
    </row>
    <row r="3" spans="2:9" ht="23.45" customHeight="1" x14ac:dyDescent="0.15">
      <c r="C3" s="555" t="str">
        <f>+Config!$B$198</f>
        <v>Vergelijking Data</v>
      </c>
      <c r="D3" s="556"/>
      <c r="E3" s="556"/>
      <c r="F3" s="557"/>
      <c r="I3" s="205" t="s">
        <v>476</v>
      </c>
    </row>
    <row r="4" spans="2:9" ht="18" customHeight="1" x14ac:dyDescent="0.15">
      <c r="I4" s="205" t="s">
        <v>477</v>
      </c>
    </row>
    <row r="5" spans="2:9" ht="18.600000000000001" customHeight="1" x14ac:dyDescent="0.15">
      <c r="C5" s="216" t="str">
        <f>+Config!$B$199</f>
        <v>Selecteer DataSet</v>
      </c>
      <c r="D5" s="217" t="s">
        <v>494</v>
      </c>
      <c r="E5" s="217" t="s">
        <v>494</v>
      </c>
      <c r="F5" s="217" t="s">
        <v>494</v>
      </c>
      <c r="I5" s="205" t="s">
        <v>478</v>
      </c>
    </row>
    <row r="6" spans="2:9" ht="18.600000000000001" customHeight="1" x14ac:dyDescent="0.15">
      <c r="C6" s="216" t="str">
        <f>+Config!$B$200</f>
        <v>Voertuigscenario</v>
      </c>
      <c r="D6" s="217" t="s">
        <v>63</v>
      </c>
      <c r="E6" s="217" t="s">
        <v>475</v>
      </c>
      <c r="F6" s="217" t="s">
        <v>361</v>
      </c>
      <c r="I6" s="205" t="s">
        <v>479</v>
      </c>
    </row>
    <row r="7" spans="2:9" ht="16.7" customHeight="1" x14ac:dyDescent="0.15">
      <c r="C7" s="218" t="str">
        <f>+Config!$B$204</f>
        <v>Creatiedatum</v>
      </c>
      <c r="D7" s="219">
        <f>INDEX(Database!$A:$CZ,MATCH('Vergelijking Data'!D$5,Database!$A:$A,0)+IF(OR(D$6="Elektrisch",D$6="Electric"),1,IF(OR(D$6="Waterstof",D$6="Hydrogen"),2,0)),MATCH($C7,Database!$A$1:$CZ$1,0))</f>
        <v>44729</v>
      </c>
      <c r="E7" s="219">
        <f>INDEX(Database!$A:$CZ,MATCH('Vergelijking Data'!E$5,Database!$A:$A,0)+IF(OR(E$6="Elektrisch",E$6="Electric"),1,IF(OR(E$6="Waterstof",E$6="Hydrogen"),2,0)),MATCH($C7,Database!$A$1:$CZ$1,0))</f>
        <v>44729</v>
      </c>
      <c r="F7" s="219">
        <f>INDEX(Database!$A:$CZ,MATCH('Vergelijking Data'!F$5,Database!$A:$A,0)+IF(OR(F$6="Elektrisch",F$6="Electric"),1,IF(OR(F$6="Waterstof",F$6="Hydrogen"),2,0)),MATCH($C7,Database!$A$1:$CZ$1,0))</f>
        <v>44729</v>
      </c>
      <c r="I7" s="205" t="s">
        <v>480</v>
      </c>
    </row>
    <row r="8" spans="2:9" ht="16.7" customHeight="1" x14ac:dyDescent="0.15">
      <c r="C8" s="218" t="str">
        <f>+Config!$B$205</f>
        <v>Voertuigtype</v>
      </c>
      <c r="D8" s="220" t="str">
        <f>INDEX(Database!$A:$CZ,MATCH('Vergelijking Data'!D$5,Database!$A:$A,0)+IF(OR(D$6="Elektrisch",D$6="Electric"),1,IF(OR(D$6="Waterstof",D$6="Hydrogen"),2,0)),MATCH($C8,Database!$A$1:$CZ$1,0))</f>
        <v>Medium bakwagen</v>
      </c>
      <c r="E8" s="220" t="str">
        <f>INDEX(Database!$A:$CZ,MATCH('Vergelijking Data'!E$5,Database!$A:$A,0)+IF(OR(E$6="Elektrisch",E$6="Electric"),1,IF(OR(E$6="Waterstof",E$6="Hydrogen"),2,0)),MATCH($C8,Database!$A$1:$CZ$1,0))</f>
        <v>Medium bakwagen</v>
      </c>
      <c r="F8" s="220" t="str">
        <f>INDEX(Database!$A:$CZ,MATCH('Vergelijking Data'!F$5,Database!$A:$A,0)+IF(OR(F$6="Elektrisch",F$6="Electric"),1,IF(OR(F$6="Waterstof",F$6="Hydrogen"),2,0)),MATCH($C8,Database!$A$1:$CZ$1,0))</f>
        <v>Medium bakwagen</v>
      </c>
      <c r="I8" s="205" t="s">
        <v>481</v>
      </c>
    </row>
    <row r="9" spans="2:9" ht="16.7" customHeight="1" x14ac:dyDescent="0.15">
      <c r="C9" s="218" t="str">
        <f>+Config!$B$206</f>
        <v>Koelmachine (J/N)</v>
      </c>
      <c r="D9" s="220" t="str">
        <f>INDEX(Database!$A:$CZ,MATCH('Vergelijking Data'!D$5,Database!$A:$A,0)+IF(OR(D$6="Elektrisch",D$6="Electric"),1,IF(OR(D$6="Waterstof",D$6="Hydrogen"),2,0)),MATCH($C9,Database!$A$1:$CZ$1,0))</f>
        <v>niet gekoeld</v>
      </c>
      <c r="E9" s="220" t="str">
        <f>INDEX(Database!$A:$CZ,MATCH('Vergelijking Data'!E$5,Database!$A:$A,0)+IF(OR(E$6="Elektrisch",E$6="Electric"),1,IF(OR(E$6="Waterstof",E$6="Hydrogen"),2,0)),MATCH($C9,Database!$A$1:$CZ$1,0))</f>
        <v>niet gekoeld</v>
      </c>
      <c r="F9" s="220" t="str">
        <f>INDEX(Database!$A:$CZ,MATCH('Vergelijking Data'!F$5,Database!$A:$A,0)+IF(OR(F$6="Elektrisch",F$6="Electric"),1,IF(OR(F$6="Waterstof",F$6="Hydrogen"),2,0)),MATCH($C9,Database!$A$1:$CZ$1,0))</f>
        <v>niet gekoeld</v>
      </c>
      <c r="I9" s="205" t="s">
        <v>482</v>
      </c>
    </row>
    <row r="10" spans="2:9" ht="16.7" customHeight="1" x14ac:dyDescent="0.15">
      <c r="C10" s="218" t="str">
        <f>+Config!$B$207</f>
        <v>Verwacht jaarkilometrage</v>
      </c>
      <c r="D10" s="221">
        <f>INDEX(Database!$A:$CZ,MATCH('Vergelijking Data'!D$5,Database!$A:$A,0)+IF(OR(D$6="Elektrisch",D$6="Electric"),1,IF(OR(D$6="Waterstof",D$6="Hydrogen"),2,0)),MATCH($C10,Database!$A$1:$CZ$1,0))</f>
        <v>70000</v>
      </c>
      <c r="E10" s="221">
        <f>INDEX(Database!$A:$CZ,MATCH('Vergelijking Data'!E$5,Database!$A:$A,0)+IF(OR(E$6="Elektrisch",E$6="Electric"),1,IF(OR(E$6="Waterstof",E$6="Hydrogen"),2,0)),MATCH($C10,Database!$A$1:$CZ$1,0))</f>
        <v>70000</v>
      </c>
      <c r="F10" s="221">
        <f>INDEX(Database!$A:$CZ,MATCH('Vergelijking Data'!F$5,Database!$A:$A,0)+IF(OR(F$6="Elektrisch",F$6="Electric"),1,IF(OR(F$6="Waterstof",F$6="Hydrogen"),2,0)),MATCH($C10,Database!$A$1:$CZ$1,0))</f>
        <v>70000</v>
      </c>
      <c r="I10" s="205" t="s">
        <v>483</v>
      </c>
    </row>
    <row r="11" spans="2:9" ht="16.7" customHeight="1" x14ac:dyDescent="0.15">
      <c r="C11" s="218" t="str">
        <f>+Config!$B$208</f>
        <v>Grijze/groene elektriciciteit</v>
      </c>
      <c r="D11" s="220" t="str">
        <f>INDEX(Database!$A:$CZ,MATCH('Vergelijking Data'!D$5,Database!$A:$A,0)+IF(OR(D$6="Elektrisch",D$6="Electric"),1,IF(OR(D$6="Waterstof",D$6="Hydrogen"),2,0)),MATCH($C11,Database!$A$1:$CZ$1,0))</f>
        <v>Groen</v>
      </c>
      <c r="E11" s="220" t="str">
        <f>INDEX(Database!$A:$CZ,MATCH('Vergelijking Data'!E$5,Database!$A:$A,0)+IF(OR(E$6="Elektrisch",E$6="Electric"),1,IF(OR(E$6="Waterstof",E$6="Hydrogen"),2,0)),MATCH($C11,Database!$A$1:$CZ$1,0))</f>
        <v>Groen</v>
      </c>
      <c r="F11" s="220" t="str">
        <f>INDEX(Database!$A:$CZ,MATCH('Vergelijking Data'!F$5,Database!$A:$A,0)+IF(OR(F$6="Elektrisch",F$6="Electric"),1,IF(OR(F$6="Waterstof",F$6="Hydrogen"),2,0)),MATCH($C11,Database!$A$1:$CZ$1,0))</f>
        <v>Groen</v>
      </c>
      <c r="I11" s="205" t="s">
        <v>6</v>
      </c>
    </row>
    <row r="12" spans="2:9" ht="16.7" customHeight="1" x14ac:dyDescent="0.15">
      <c r="C12" s="218" t="str">
        <f>+Config!$B$209</f>
        <v>Grijze/groene waterstof</v>
      </c>
      <c r="D12" s="220" t="str">
        <f>INDEX(Database!$A:$CZ,MATCH('Vergelijking Data'!D$5,Database!$A:$A,0)+IF(OR(D$6="Elektrisch",D$6="Electric"),1,IF(OR(D$6="Waterstof",D$6="Hydrogen"),2,0)),MATCH($C12,Database!$A$1:$CZ$1,0))</f>
        <v>Electrolysis RE</v>
      </c>
      <c r="E12" s="220" t="str">
        <f>INDEX(Database!$A:$CZ,MATCH('Vergelijking Data'!E$5,Database!$A:$A,0)+IF(OR(E$6="Elektrisch",E$6="Electric"),1,IF(OR(E$6="Waterstof",E$6="Hydrogen"),2,0)),MATCH($C12,Database!$A$1:$CZ$1,0))</f>
        <v>Electrolysis RE</v>
      </c>
      <c r="F12" s="220" t="str">
        <f>INDEX(Database!$A:$CZ,MATCH('Vergelijking Data'!F$5,Database!$A:$A,0)+IF(OR(F$6="Elektrisch",F$6="Electric"),1,IF(OR(F$6="Waterstof",F$6="Hydrogen"),2,0)),MATCH($C12,Database!$A$1:$CZ$1,0))</f>
        <v>Electrolysis RE</v>
      </c>
      <c r="I12" s="205" t="s">
        <v>494</v>
      </c>
    </row>
    <row r="13" spans="2:9" ht="16.7" customHeight="1" x14ac:dyDescent="0.15">
      <c r="C13" s="218" t="str">
        <f>+Config!$B$210</f>
        <v>Rechtsvorm en belastingpercentage</v>
      </c>
      <c r="D13" s="220" t="str">
        <f>INDEX(Database!$A:$CZ,MATCH('Vergelijking Data'!D$5,Database!$A:$A,0)+IF(OR(D$6="Elektrisch",D$6="Electric"),1,IF(OR(D$6="Waterstof",D$6="Hydrogen"),2,0)),MATCH($C13,Database!$A$1:$CZ$1,0))</f>
        <v>BV of NV met 15% belasting</v>
      </c>
      <c r="E13" s="220" t="str">
        <f>INDEX(Database!$A:$CZ,MATCH('Vergelijking Data'!E$5,Database!$A:$A,0)+IF(OR(E$6="Elektrisch",E$6="Electric"),1,IF(OR(E$6="Waterstof",E$6="Hydrogen"),2,0)),MATCH($C13,Database!$A$1:$CZ$1,0))</f>
        <v>BV of NV met 15% belasting</v>
      </c>
      <c r="F13" s="220" t="str">
        <f>INDEX(Database!$A:$CZ,MATCH('Vergelijking Data'!F$5,Database!$A:$A,0)+IF(OR(F$6="Elektrisch",F$6="Electric"),1,IF(OR(F$6="Waterstof",F$6="Hydrogen"),2,0)),MATCH($C13,Database!$A$1:$CZ$1,0))</f>
        <v>BV of NV met 15% belasting</v>
      </c>
      <c r="I13" s="205" t="s">
        <v>495</v>
      </c>
    </row>
    <row r="14" spans="2:9" ht="16.7" customHeight="1" x14ac:dyDescent="0.15">
      <c r="C14" s="218" t="str">
        <f>+Config!$B$211</f>
        <v>Jaar prognose</v>
      </c>
      <c r="D14" s="220">
        <f>INDEX(Database!$A:$CZ,MATCH('Vergelijking Data'!D$5,Database!$A:$A,0)+IF(OR(D$6="Elektrisch",D$6="Electric"),1,IF(OR(D$6="Waterstof",D$6="Hydrogen"),2,0)),MATCH($C14,Database!$A$1:$CZ$1,0))</f>
        <v>2021</v>
      </c>
      <c r="E14" s="220">
        <f>INDEX(Database!$A:$CZ,MATCH('Vergelijking Data'!E$5,Database!$A:$A,0)+IF(OR(E$6="Elektrisch",E$6="Electric"),1,IF(OR(E$6="Waterstof",E$6="Hydrogen"),2,0)),MATCH($C14,Database!$A$1:$CZ$1,0))</f>
        <v>2021</v>
      </c>
      <c r="F14" s="220">
        <f>INDEX(Database!$A:$CZ,MATCH('Vergelijking Data'!F$5,Database!$A:$A,0)+IF(OR(F$6="Elektrisch",F$6="Electric"),1,IF(OR(F$6="Waterstof",F$6="Hydrogen"),2,0)),MATCH($C14,Database!$A$1:$CZ$1,0))</f>
        <v>2021</v>
      </c>
    </row>
    <row r="15" spans="2:9" ht="16.7" customHeight="1" x14ac:dyDescent="0.15">
      <c r="C15" s="218" t="str">
        <f>+Config!$B$212</f>
        <v xml:space="preserve">Economische levensduur </v>
      </c>
      <c r="D15" s="220">
        <f>INDEX(Database!$A:$CZ,MATCH('Vergelijking Data'!D$5,Database!$A:$A,0)+IF(OR(D$6="Elektrisch",D$6="Electric"),1,IF(OR(D$6="Waterstof",D$6="Hydrogen"),2,0)),MATCH($C15,Database!$A$1:$CZ$1,0))</f>
        <v>7</v>
      </c>
      <c r="E15" s="220">
        <f>INDEX(Database!$A:$CZ,MATCH('Vergelijking Data'!E$5,Database!$A:$A,0)+IF(OR(E$6="Elektrisch",E$6="Electric"),1,IF(OR(E$6="Waterstof",E$6="Hydrogen"),2,0)),MATCH($C15,Database!$A$1:$CZ$1,0))</f>
        <v>10</v>
      </c>
      <c r="F15" s="220">
        <f>INDEX(Database!$A:$CZ,MATCH('Vergelijking Data'!F$5,Database!$A:$A,0)+IF(OR(F$6="Elektrisch",F$6="Electric"),1,IF(OR(F$6="Waterstof",F$6="Hydrogen"),2,0)),MATCH($C15,Database!$A$1:$CZ$1,0))</f>
        <v>10</v>
      </c>
      <c r="I15"/>
    </row>
    <row r="16" spans="2:9" ht="16.7" customHeight="1" x14ac:dyDescent="0.15">
      <c r="C16" s="218" t="str">
        <f>+Config!$B$213</f>
        <v xml:space="preserve">Restwaarde </v>
      </c>
      <c r="D16" s="222">
        <f>INDEX(Database!$A:$CZ,MATCH('Vergelijking Data'!D$5,Database!$A:$A,0)+IF(OR(D$6="Elektrisch",D$6="Electric"),1,IF(OR(D$6="Waterstof",D$6="Hydrogen"),2,0)),MATCH($C16,Database!$A$1:$CZ$1,0))</f>
        <v>20510.259999999998</v>
      </c>
      <c r="E16" s="222">
        <f>INDEX(Database!$A:$CZ,MATCH('Vergelijking Data'!E$5,Database!$A:$A,0)+IF(OR(E$6="Elektrisch",E$6="Electric"),1,IF(OR(E$6="Waterstof",E$6="Hydrogen"),2,0)),MATCH($C16,Database!$A$1:$CZ$1,0))</f>
        <v>22573.22</v>
      </c>
      <c r="F16" s="222">
        <f>INDEX(Database!$A:$CZ,MATCH('Vergelijking Data'!F$5,Database!$A:$A,0)+IF(OR(F$6="Elektrisch",F$6="Electric"),1,IF(OR(F$6="Waterstof",F$6="Hydrogen"),2,0)),MATCH($C16,Database!$A$1:$CZ$1,0))</f>
        <v>43078.85</v>
      </c>
      <c r="I16"/>
    </row>
    <row r="17" spans="3:9" ht="16.7" customHeight="1" x14ac:dyDescent="0.15">
      <c r="C17" s="218" t="str">
        <f>+Config!$B$214</f>
        <v>Productieve uren per jaar</v>
      </c>
      <c r="D17" s="223">
        <f>INDEX(Database!$A:$CZ,MATCH('Vergelijking Data'!D$5,Database!$A:$A,0)+IF(OR(D$6="Elektrisch",D$6="Electric"),1,IF(OR(D$6="Waterstof",D$6="Hydrogen"),2,0)),MATCH($C17,Database!$A$1:$CZ$1,0))</f>
        <v>2600</v>
      </c>
      <c r="E17" s="223">
        <f>INDEX(Database!$A:$CZ,MATCH('Vergelijking Data'!E$5,Database!$A:$A,0)+IF(OR(E$6="Elektrisch",E$6="Electric"),1,IF(OR(E$6="Waterstof",E$6="Hydrogen"),2,0)),MATCH($C17,Database!$A$1:$CZ$1,0))</f>
        <v>2580</v>
      </c>
      <c r="F17" s="223">
        <f>INDEX(Database!$A:$CZ,MATCH('Vergelijking Data'!F$5,Database!$A:$A,0)+IF(OR(F$6="Elektrisch",F$6="Electric"),1,IF(OR(F$6="Waterstof",F$6="Hydrogen"),2,0)),MATCH($C17,Database!$A$1:$CZ$1,0))</f>
        <v>2550</v>
      </c>
      <c r="I17"/>
    </row>
    <row r="18" spans="3:9" ht="16.7" customHeight="1" x14ac:dyDescent="0.15">
      <c r="C18" s="218" t="str">
        <f>+Config!$B$215</f>
        <v>Kosten van reparaties</v>
      </c>
      <c r="D18" s="224">
        <f>INDEX(Database!$A:$CZ,MATCH('Vergelijking Data'!D$5,Database!$A:$A,0)+IF(OR(D$6="Elektrisch",D$6="Electric"),1,IF(OR(D$6="Waterstof",D$6="Hydrogen"),2,0)),MATCH($C18,Database!$A$1:$CZ$1,0))</f>
        <v>1500</v>
      </c>
      <c r="E18" s="224">
        <f>INDEX(Database!$A:$CZ,MATCH('Vergelijking Data'!E$5,Database!$A:$A,0)+IF(OR(E$6="Elektrisch",E$6="Electric"),1,IF(OR(E$6="Waterstof",E$6="Hydrogen"),2,0)),MATCH($C18,Database!$A$1:$CZ$1,0))</f>
        <v>5000</v>
      </c>
      <c r="F18" s="224">
        <f>INDEX(Database!$A:$CZ,MATCH('Vergelijking Data'!F$5,Database!$A:$A,0)+IF(OR(F$6="Elektrisch",F$6="Electric"),1,IF(OR(F$6="Waterstof",F$6="Hydrogen"),2,0)),MATCH($C18,Database!$A$1:$CZ$1,0))</f>
        <v>10000</v>
      </c>
      <c r="I18"/>
    </row>
    <row r="19" spans="3:9" ht="16.7" customHeight="1" x14ac:dyDescent="0.15">
      <c r="C19" s="218" t="str">
        <f>+Config!$B$216</f>
        <v>Stilstand dagen per jaar</v>
      </c>
      <c r="D19" s="220">
        <f>INDEX(Database!$A:$CZ,MATCH('Vergelijking Data'!D$5,Database!$A:$A,0)+IF(OR(D$6="Elektrisch",D$6="Electric"),1,IF(OR(D$6="Waterstof",D$6="Hydrogen"),2,0)),MATCH($C19,Database!$A$1:$CZ$1,0))</f>
        <v>0</v>
      </c>
      <c r="E19" s="220">
        <f>INDEX(Database!$A:$CZ,MATCH('Vergelijking Data'!E$5,Database!$A:$A,0)+IF(OR(E$6="Elektrisch",E$6="Electric"),1,IF(OR(E$6="Waterstof",E$6="Hydrogen"),2,0)),MATCH($C19,Database!$A$1:$CZ$1,0))</f>
        <v>2</v>
      </c>
      <c r="F19" s="220">
        <f>INDEX(Database!$A:$CZ,MATCH('Vergelijking Data'!F$5,Database!$A:$A,0)+IF(OR(F$6="Elektrisch",F$6="Electric"),1,IF(OR(F$6="Waterstof",F$6="Hydrogen"),2,0)),MATCH($C19,Database!$A$1:$CZ$1,0))</f>
        <v>5</v>
      </c>
      <c r="I19"/>
    </row>
    <row r="20" spans="3:9" ht="16.7" customHeight="1" x14ac:dyDescent="0.15">
      <c r="C20" s="218" t="str">
        <f>+Config!$B$217</f>
        <v>Vermogen eigen oplaadsysteem (kW)</v>
      </c>
      <c r="D20" s="220" t="str">
        <f>INDEX(Database!$A:$CZ,MATCH('Vergelijking Data'!D$5,Database!$A:$A,0)+IF(OR(D$6="Elektrisch",D$6="Electric"),1,IF(OR(D$6="Waterstof",D$6="Hydrogen"),2,0)),MATCH($C20,Database!$A$1:$CZ$1,0))</f>
        <v>nvt</v>
      </c>
      <c r="E20" s="220">
        <f>INDEX(Database!$A:$CZ,MATCH('Vergelijking Data'!E$5,Database!$A:$A,0)+IF(OR(E$6="Elektrisch",E$6="Electric"),1,IF(OR(E$6="Waterstof",E$6="Hydrogen"),2,0)),MATCH($C20,Database!$A$1:$CZ$1,0))</f>
        <v>20</v>
      </c>
      <c r="F20" s="220" t="str">
        <f>INDEX(Database!$A:$CZ,MATCH('Vergelijking Data'!F$5,Database!$A:$A,0)+IF(OR(F$6="Elektrisch",F$6="Electric"),1,IF(OR(F$6="Waterstof",F$6="Hydrogen"),2,0)),MATCH($C20,Database!$A$1:$CZ$1,0))</f>
        <v>nvt</v>
      </c>
      <c r="I20"/>
    </row>
    <row r="21" spans="3:9" ht="16.7" customHeight="1" x14ac:dyDescent="0.15">
      <c r="C21" s="218" t="str">
        <f>+Config!$B$218</f>
        <v xml:space="preserve">Capaciteit vrachtwagenbatterij (kWh) </v>
      </c>
      <c r="D21" s="220" t="str">
        <f>INDEX(Database!$A:$CZ,MATCH('Vergelijking Data'!D$5,Database!$A:$A,0)+IF(OR(D$6="Elektrisch",D$6="Electric"),1,IF(OR(D$6="Waterstof",D$6="Hydrogen"),2,0)),MATCH($C21,Database!$A$1:$CZ$1,0))</f>
        <v>nvt</v>
      </c>
      <c r="E21" s="220">
        <f>INDEX(Database!$A:$CZ,MATCH('Vergelijking Data'!E$5,Database!$A:$A,0)+IF(OR(E$6="Elektrisch",E$6="Electric"),1,IF(OR(E$6="Waterstof",E$6="Hydrogen"),2,0)),MATCH($C21,Database!$A$1:$CZ$1,0))</f>
        <v>180</v>
      </c>
      <c r="F21" s="220">
        <f>INDEX(Database!$A:$CZ,MATCH('Vergelijking Data'!F$5,Database!$A:$A,0)+IF(OR(F$6="Elektrisch",F$6="Electric"),1,IF(OR(F$6="Waterstof",F$6="Hydrogen"),2,0)),MATCH($C21,Database!$A$1:$CZ$1,0))</f>
        <v>150</v>
      </c>
      <c r="I21"/>
    </row>
    <row r="22" spans="3:9" ht="16.7" customHeight="1" x14ac:dyDescent="0.15">
      <c r="C22" s="218" t="str">
        <f>+Config!$B$219</f>
        <v>Waterstof opslag tank (kg)</v>
      </c>
      <c r="D22" s="220" t="str">
        <f>INDEX(Database!$A:$CZ,MATCH('Vergelijking Data'!D$5,Database!$A:$A,0)+IF(OR(D$6="Elektrisch",D$6="Electric"),1,IF(OR(D$6="Waterstof",D$6="Hydrogen"),2,0)),MATCH($C22,Database!$A$1:$CZ$1,0))</f>
        <v>nvt</v>
      </c>
      <c r="E22" s="220" t="str">
        <f>INDEX(Database!$A:$CZ,MATCH('Vergelijking Data'!E$5,Database!$A:$A,0)+IF(OR(E$6="Elektrisch",E$6="Electric"),1,IF(OR(E$6="Waterstof",E$6="Hydrogen"),2,0)),MATCH($C22,Database!$A$1:$CZ$1,0))</f>
        <v>nvt</v>
      </c>
      <c r="F22" s="220">
        <f>INDEX(Database!$A:$CZ,MATCH('Vergelijking Data'!F$5,Database!$A:$A,0)+IF(OR(F$6="Elektrisch",F$6="Electric"),1,IF(OR(F$6="Waterstof",F$6="Hydrogen"),2,0)),MATCH($C22,Database!$A$1:$CZ$1,0))</f>
        <v>15</v>
      </c>
      <c r="I22"/>
    </row>
    <row r="23" spans="3:9" ht="10.7" customHeight="1" x14ac:dyDescent="0.15">
      <c r="I23"/>
    </row>
    <row r="24" spans="3:9" ht="16.7" customHeight="1" x14ac:dyDescent="0.15">
      <c r="C24" s="225" t="str">
        <f>+Config!$B$220</f>
        <v xml:space="preserve">Bruto aankoopprijs </v>
      </c>
      <c r="D24" s="226">
        <f>INDEX(Database!$A:$CZ,MATCH('Vergelijking Data'!D$5,Database!$A:$A,0)+IF(OR(D$6="Elektrisch",D$6="Electric"),1,IF(OR(D$6="Waterstof",D$6="Hydrogen"),2,0)),MATCH($C24,Database!$A$1:$CZ$1,0))</f>
        <v>88750</v>
      </c>
      <c r="E24" s="226">
        <f>INDEX(Database!$A:$CZ,MATCH('Vergelijking Data'!E$5,Database!$A:$A,0)+IF(OR(E$6="Elektrisch",E$6="Electric"),1,IF(OR(E$6="Waterstof",E$6="Hydrogen"),2,0)),MATCH($C24,Database!$A$1:$CZ$1,0))</f>
        <v>183250</v>
      </c>
      <c r="F24" s="226">
        <f>INDEX(Database!$A:$CZ,MATCH('Vergelijking Data'!F$5,Database!$A:$A,0)+IF(OR(F$6="Elektrisch",F$6="Electric"),1,IF(OR(F$6="Waterstof",F$6="Hydrogen"),2,0)),MATCH($C24,Database!$A$1:$CZ$1,0))</f>
        <v>349715.25</v>
      </c>
      <c r="I24"/>
    </row>
    <row r="25" spans="3:9" ht="16.7" customHeight="1" x14ac:dyDescent="0.15">
      <c r="C25" s="225" t="str">
        <f>+Config!$B$221</f>
        <v>Subsidies</v>
      </c>
      <c r="D25" s="226">
        <f>INDEX(Database!$A:$CZ,MATCH('Vergelijking Data'!D$5,Database!$A:$A,0)+IF(OR(D$6="Elektrisch",D$6="Electric"),1,IF(OR(D$6="Waterstof",D$6="Hydrogen"),2,0)),MATCH($C25,Database!$A$1:$CZ$1,0))</f>
        <v>0</v>
      </c>
      <c r="E25" s="226">
        <f>INDEX(Database!$A:$CZ,MATCH('Vergelijking Data'!E$5,Database!$A:$A,0)+IF(OR(E$6="Elektrisch",E$6="Electric"),1,IF(OR(E$6="Waterstof",E$6="Hydrogen"),2,0)),MATCH($C25,Database!$A$1:$CZ$1,0))</f>
        <v>17621.55</v>
      </c>
      <c r="F25" s="226">
        <f>INDEX(Database!$A:$CZ,MATCH('Vergelijking Data'!F$5,Database!$A:$A,0)+IF(OR(F$6="Elektrisch",F$6="Electric"),1,IF(OR(F$6="Waterstof",F$6="Hydrogen"),2,0)),MATCH($C25,Database!$A$1:$CZ$1,0))</f>
        <v>39761.839999999997</v>
      </c>
      <c r="I25"/>
    </row>
    <row r="26" spans="3:9" ht="16.7" customHeight="1" x14ac:dyDescent="0.15">
      <c r="C26" s="225" t="str">
        <f>+Config!$B$222</f>
        <v>Netto aankoopprijs</v>
      </c>
      <c r="D26" s="226">
        <f>INDEX(Database!$A:$CZ,MATCH('Vergelijking Data'!D$5,Database!$A:$A,0)+IF(OR(D$6="Elektrisch",D$6="Electric"),1,IF(OR(D$6="Waterstof",D$6="Hydrogen"),2,0)),MATCH($C26,Database!$A$1:$CZ$1,0))</f>
        <v>88750</v>
      </c>
      <c r="E26" s="226">
        <f>INDEX(Database!$A:$CZ,MATCH('Vergelijking Data'!E$5,Database!$A:$A,0)+IF(OR(E$6="Elektrisch",E$6="Electric"),1,IF(OR(E$6="Waterstof",E$6="Hydrogen"),2,0)),MATCH($C26,Database!$A$1:$CZ$1,0))</f>
        <v>165794.5</v>
      </c>
      <c r="F26" s="226">
        <f>INDEX(Database!$A:$CZ,MATCH('Vergelijking Data'!F$5,Database!$A:$A,0)+IF(OR(F$6="Elektrisch",F$6="Electric"),1,IF(OR(F$6="Waterstof",F$6="Hydrogen"),2,0)),MATCH($C26,Database!$A$1:$CZ$1,0))</f>
        <v>309953.40999999997</v>
      </c>
      <c r="I26"/>
    </row>
    <row r="27" spans="3:9" ht="16.7" customHeight="1" x14ac:dyDescent="0.15">
      <c r="C27" s="225" t="str">
        <f>+Config!$B$223</f>
        <v>Netto kosten inkoop &amp; aanleg oplaadsysteem</v>
      </c>
      <c r="D27" s="226" t="str">
        <f>INDEX(Database!$A:$CZ,MATCH('Vergelijking Data'!D$5,Database!$A:$A,0)+IF(OR(D$6="Elektrisch",D$6="Electric"),1,IF(OR(D$6="Waterstof",D$6="Hydrogen"),2,0)),MATCH($C27,Database!$A$1:$CZ$1,0))</f>
        <v>nvt</v>
      </c>
      <c r="E27" s="226">
        <f>INDEX(Database!$A:$CZ,MATCH('Vergelijking Data'!E$5,Database!$A:$A,0)+IF(OR(E$6="Elektrisch",E$6="Electric"),1,IF(OR(E$6="Waterstof",E$6="Hydrogen"),2,0)),MATCH($C27,Database!$A$1:$CZ$1,0))</f>
        <v>2908.95</v>
      </c>
      <c r="F27" s="226" t="str">
        <f>INDEX(Database!$A:$CZ,MATCH('Vergelijking Data'!F$5,Database!$A:$A,0)+IF(OR(F$6="Elektrisch",F$6="Electric"),1,IF(OR(F$6="Waterstof",F$6="Hydrogen"),2,0)),MATCH($C27,Database!$A$1:$CZ$1,0))</f>
        <v>nvt</v>
      </c>
      <c r="I27"/>
    </row>
    <row r="28" spans="3:9" ht="16.7" customHeight="1" x14ac:dyDescent="0.15">
      <c r="C28" s="225" t="str">
        <f>+Config!$B$224</f>
        <v>Basisprijs energie</v>
      </c>
      <c r="D28" s="227">
        <f>INDEX(Database!$A:$CZ,MATCH('Vergelijking Data'!D$5,Database!$A:$A,0)+IF(OR(D$6="Elektrisch",D$6="Electric"),1,IF(OR(D$6="Waterstof",D$6="Hydrogen"),2,0)),MATCH($C28,Database!$A$1:$CZ$1,0))</f>
        <v>1.6</v>
      </c>
      <c r="E28" s="227">
        <f>INDEX(Database!$A:$CZ,MATCH('Vergelijking Data'!E$5,Database!$A:$A,0)+IF(OR(E$6="Elektrisch",E$6="Electric"),1,IF(OR(E$6="Waterstof",E$6="Hydrogen"),2,0)),MATCH($C28,Database!$A$1:$CZ$1,0))</f>
        <v>0.08</v>
      </c>
      <c r="F28" s="227">
        <f>INDEX(Database!$A:$CZ,MATCH('Vergelijking Data'!F$5,Database!$A:$A,0)+IF(OR(F$6="Elektrisch",F$6="Electric"),1,IF(OR(F$6="Waterstof",F$6="Hydrogen"),2,0)),MATCH($C28,Database!$A$1:$CZ$1,0))</f>
        <v>10</v>
      </c>
      <c r="I28"/>
    </row>
    <row r="29" spans="3:9" ht="10.7" customHeight="1" x14ac:dyDescent="0.15">
      <c r="I29"/>
    </row>
    <row r="30" spans="3:9" ht="12.75" x14ac:dyDescent="0.15">
      <c r="C30" s="228" t="str">
        <f>+Config!$B$225</f>
        <v>Outputs</v>
      </c>
      <c r="D30" s="228"/>
      <c r="E30" s="228"/>
      <c r="F30" s="228"/>
      <c r="I30"/>
    </row>
    <row r="31" spans="3:9" ht="16.7" customHeight="1" x14ac:dyDescent="0.15">
      <c r="C31" s="229" t="str">
        <f>+Config!$B$226</f>
        <v>Scenario</v>
      </c>
      <c r="D31" s="230" t="str">
        <f>INDEX(Database!$A:$CZ,MATCH('Vergelijking Data'!D$5,Database!$A:$A,0)+IF(OR(D$6="Elektrisch",D$6="Electric"),1,IF(OR(D$6="Waterstof",D$6="Hydrogen"),2,0)),MATCH($C31,Database!$A$1:$CZ$1,0))</f>
        <v>Diesel</v>
      </c>
      <c r="E31" s="230" t="str">
        <f>INDEX(Database!$A:$CZ,MATCH('Vergelijking Data'!E$5,Database!$A:$A,0)+IF(OR(E$6="Elektrisch",E$6="Electric"),1,IF(OR(E$6="Waterstof",E$6="Hydrogen"),2,0)),MATCH($C31,Database!$A$1:$CZ$1,0))</f>
        <v>EV Optimale mix</v>
      </c>
      <c r="F31" s="230" t="str">
        <f>INDEX(Database!$A:$CZ,MATCH('Vergelijking Data'!F$5,Database!$A:$A,0)+IF(OR(F$6="Elektrisch",F$6="Electric"),1,IF(OR(F$6="Waterstof",F$6="Hydrogen"),2,0)),MATCH($C31,Database!$A$1:$CZ$1,0))</f>
        <v>Waterstof voertuig</v>
      </c>
      <c r="I31"/>
    </row>
    <row r="32" spans="3:9" ht="16.7" customHeight="1" x14ac:dyDescent="0.15">
      <c r="C32" s="229" t="str">
        <f>+Config!$B$227</f>
        <v>Scenario validiteit</v>
      </c>
      <c r="D32" s="230" t="str">
        <f>INDEX(Database!$A:$CZ,MATCH('Vergelijking Data'!D$5,Database!$A:$A,0)+IF(OR(D$6="Elektrisch",D$6="Electric"),1,IF(OR(D$6="Waterstof",D$6="Hydrogen"),2,0)),MATCH($C32,Database!$A$1:$CZ$1,0))</f>
        <v>nvt</v>
      </c>
      <c r="E32" s="230" t="str">
        <f>INDEX(Database!$A:$CZ,MATCH('Vergelijking Data'!E$5,Database!$A:$A,0)+IF(OR(E$6="Elektrisch",E$6="Electric"),1,IF(OR(E$6="Waterstof",E$6="Hydrogen"),2,0)),MATCH($C32,Database!$A$1:$CZ$1,0))</f>
        <v>Scenario valide</v>
      </c>
      <c r="F32" s="230" t="str">
        <f>INDEX(Database!$A:$CZ,MATCH('Vergelijking Data'!F$5,Database!$A:$A,0)+IF(OR(F$6="Elektrisch",F$6="Electric"),1,IF(OR(F$6="Waterstof",F$6="Hydrogen"),2,0)),MATCH($C32,Database!$A$1:$CZ$1,0))</f>
        <v>nvt</v>
      </c>
      <c r="I32"/>
    </row>
    <row r="33" spans="3:9" ht="16.7" customHeight="1" x14ac:dyDescent="0.15">
      <c r="C33" s="229" t="str">
        <f>+Config!$B$228</f>
        <v>Voertuig</v>
      </c>
      <c r="D33" s="230" t="str">
        <f>INDEX(Database!$A:$CZ,MATCH('Vergelijking Data'!D$5,Database!$A:$A,0)+IF(OR(D$6="Elektrisch",D$6="Electric"),1,IF(OR(D$6="Waterstof",D$6="Hydrogen"),2,0)),MATCH($C33,Database!$A$1:$CZ$1,0))</f>
        <v>Medium bakwagen</v>
      </c>
      <c r="E33" s="230" t="str">
        <f>INDEX(Database!$A:$CZ,MATCH('Vergelijking Data'!E$5,Database!$A:$A,0)+IF(OR(E$6="Elektrisch",E$6="Electric"),1,IF(OR(E$6="Waterstof",E$6="Hydrogen"),2,0)),MATCH($C33,Database!$A$1:$CZ$1,0))</f>
        <v>Medium bakwagen 180 kWh</v>
      </c>
      <c r="F33" s="230" t="str">
        <f>INDEX(Database!$A:$CZ,MATCH('Vergelijking Data'!F$5,Database!$A:$A,0)+IF(OR(F$6="Elektrisch",F$6="Electric"),1,IF(OR(F$6="Waterstof",F$6="Hydrogen"),2,0)),MATCH($C33,Database!$A$1:$CZ$1,0))</f>
        <v>Medium bakwagen 40 kW</v>
      </c>
      <c r="I33"/>
    </row>
    <row r="34" spans="3:9" ht="16.7" customHeight="1" x14ac:dyDescent="0.15">
      <c r="C34" s="229" t="str">
        <f>+Config!$B$229</f>
        <v>Eigen oplaadsysteem</v>
      </c>
      <c r="D34" s="231" t="str">
        <f>INDEX(Database!$A:$CZ,MATCH('Vergelijking Data'!D$5,Database!$A:$A,0)+IF(OR(D$6="Elektrisch",D$6="Electric"),1,IF(OR(D$6="Waterstof",D$6="Hydrogen"),2,0)),MATCH($C34,Database!$A$1:$CZ$1,0))</f>
        <v>nvt</v>
      </c>
      <c r="E34" s="231" t="str">
        <f>INDEX(Database!$A:$CZ,MATCH('Vergelijking Data'!E$5,Database!$A:$A,0)+IF(OR(E$6="Elektrisch",E$6="Electric"),1,IF(OR(E$6="Waterstof",E$6="Hydrogen"),2,0)),MATCH($C34,Database!$A$1:$CZ$1,0))</f>
        <v>AC20</v>
      </c>
      <c r="F34" s="231" t="str">
        <f>INDEX(Database!$A:$CZ,MATCH('Vergelijking Data'!F$5,Database!$A:$A,0)+IF(OR(F$6="Elektrisch",F$6="Electric"),1,IF(OR(F$6="Waterstof",F$6="Hydrogen"),2,0)),MATCH($C34,Database!$A$1:$CZ$1,0))</f>
        <v>nvt</v>
      </c>
      <c r="I34"/>
    </row>
    <row r="35" spans="3:9" ht="16.7" customHeight="1" x14ac:dyDescent="0.15">
      <c r="C35" s="229" t="str">
        <f>+Config!$B$230</f>
        <v>Openbaar oplaadsysteem</v>
      </c>
      <c r="D35" s="230" t="str">
        <f>INDEX(Database!$A:$CZ,MATCH('Vergelijking Data'!D$5,Database!$A:$A,0)+IF(OR(D$6="Elektrisch",D$6="Electric"),1,IF(OR(D$6="Waterstof",D$6="Hydrogen"),2,0)),MATCH($C35,Database!$A$1:$CZ$1,0))</f>
        <v>nvt</v>
      </c>
      <c r="E35" s="230" t="str">
        <f>INDEX(Database!$A:$CZ,MATCH('Vergelijking Data'!E$5,Database!$A:$A,0)+IF(OR(E$6="Elektrisch",E$6="Electric"),1,IF(OR(E$6="Waterstof",E$6="Hydrogen"),2,0)),MATCH($C35,Database!$A$1:$CZ$1,0))</f>
        <v>HPC150</v>
      </c>
      <c r="F35" s="230" t="str">
        <f>INDEX(Database!$A:$CZ,MATCH('Vergelijking Data'!F$5,Database!$A:$A,0)+IF(OR(F$6="Elektrisch",F$6="Electric"),1,IF(OR(F$6="Waterstof",F$6="Hydrogen"),2,0)),MATCH($C35,Database!$A$1:$CZ$1,0))</f>
        <v>nvt</v>
      </c>
      <c r="I35"/>
    </row>
    <row r="36" spans="3:9" ht="16.7" customHeight="1" x14ac:dyDescent="0.15">
      <c r="C36" s="229" t="str">
        <f>+Config!$B$231</f>
        <v>Percentage eigen oplaadsysteem</v>
      </c>
      <c r="D36" s="232" t="str">
        <f>INDEX(Database!$A:$CZ,MATCH('Vergelijking Data'!D$5,Database!$A:$A,0)+IF(OR(D$6="Elektrisch",D$6="Electric"),1,IF(OR(D$6="Waterstof",D$6="Hydrogen"),2,0)),MATCH($C36,Database!$A$1:$CZ$1,0))</f>
        <v>nvt</v>
      </c>
      <c r="E36" s="232">
        <f>INDEX(Database!$A:$CZ,MATCH('Vergelijking Data'!E$5,Database!$A:$A,0)+IF(OR(E$6="Elektrisch",E$6="Electric"),1,IF(OR(E$6="Waterstof",E$6="Hydrogen"),2,0)),MATCH($C36,Database!$A$1:$CZ$1,0))</f>
        <v>0.56444010086310603</v>
      </c>
      <c r="F36" s="232" t="str">
        <f>INDEX(Database!$A:$CZ,MATCH('Vergelijking Data'!F$5,Database!$A:$A,0)+IF(OR(F$6="Elektrisch",F$6="Electric"),1,IF(OR(F$6="Waterstof",F$6="Hydrogen"),2,0)),MATCH($C36,Database!$A$1:$CZ$1,0))</f>
        <v>nvt</v>
      </c>
      <c r="I36"/>
    </row>
    <row r="37" spans="3:9" ht="16.7" customHeight="1" x14ac:dyDescent="0.15">
      <c r="C37" s="229" t="str">
        <f>+Config!$B$232</f>
        <v>Percentage extern (openbaar) Oplaadsysteem</v>
      </c>
      <c r="D37" s="233" t="str">
        <f>INDEX(Database!$A:$CZ,MATCH('Vergelijking Data'!D$5,Database!$A:$A,0)+IF(OR(D$6="Elektrisch",D$6="Electric"),1,IF(OR(D$6="Waterstof",D$6="Hydrogen"),2,0)),MATCH($C37,Database!$A$1:$CZ$1,0))</f>
        <v>nvt</v>
      </c>
      <c r="E37" s="233">
        <f>INDEX(Database!$A:$CZ,MATCH('Vergelijking Data'!E$5,Database!$A:$A,0)+IF(OR(E$6="Elektrisch",E$6="Electric"),1,IF(OR(E$6="Waterstof",E$6="Hydrogen"),2,0)),MATCH($C37,Database!$A$1:$CZ$1,0))</f>
        <v>0.43555989913689397</v>
      </c>
      <c r="F37" s="233" t="str">
        <f>INDEX(Database!$A:$CZ,MATCH('Vergelijking Data'!F$5,Database!$A:$A,0)+IF(OR(F$6="Elektrisch",F$6="Electric"),1,IF(OR(F$6="Waterstof",F$6="Hydrogen"),2,0)),MATCH($C37,Database!$A$1:$CZ$1,0))</f>
        <v>nvt</v>
      </c>
      <c r="I37"/>
    </row>
    <row r="38" spans="3:9" ht="16.7" customHeight="1" x14ac:dyDescent="0.15">
      <c r="C38" s="229" t="str">
        <f>+Config!$B$233</f>
        <v>Totale kosten per jaar</v>
      </c>
      <c r="D38" s="234">
        <f>INDEX(Database!$A:$CZ,MATCH('Vergelijking Data'!D$5,Database!$A:$A,0)+IF(OR(D$6="Elektrisch",D$6="Electric"),1,IF(OR(D$6="Waterstof",D$6="Hydrogen"),2,0)),MATCH($C38,Database!$A$1:$CZ$1,0))</f>
        <v>138505.01978959292</v>
      </c>
      <c r="E38" s="234">
        <f>INDEX(Database!$A:$CZ,MATCH('Vergelijking Data'!E$5,Database!$A:$A,0)+IF(OR(E$6="Elektrisch",E$6="Electric"),1,IF(OR(E$6="Waterstof",E$6="Hydrogen"),2,0)),MATCH($C38,Database!$A$1:$CZ$1,0))</f>
        <v>149885.83148180239</v>
      </c>
      <c r="F38" s="234">
        <f>INDEX(Database!$A:$CZ,MATCH('Vergelijking Data'!F$5,Database!$A:$A,0)+IF(OR(F$6="Elektrisch",F$6="Electric"),1,IF(OR(F$6="Waterstof",F$6="Hydrogen"),2,0)),MATCH($C38,Database!$A$1:$CZ$1,0))</f>
        <v>177317.91800841462</v>
      </c>
      <c r="I38"/>
    </row>
    <row r="39" spans="3:9" ht="16.7" customHeight="1" x14ac:dyDescent="0.15">
      <c r="C39" s="229" t="str">
        <f>+Config!$B$234</f>
        <v>Totale kosten per km</v>
      </c>
      <c r="D39" s="235">
        <f>INDEX(Database!$A:$CZ,MATCH('Vergelijking Data'!D$5,Database!$A:$A,0)+IF(OR(D$6="Elektrisch",D$6="Electric"),1,IF(OR(D$6="Waterstof",D$6="Hydrogen"),2,0)),MATCH($C39,Database!$A$1:$CZ$1,0))</f>
        <v>1.9786431398513273</v>
      </c>
      <c r="E39" s="235">
        <f>INDEX(Database!$A:$CZ,MATCH('Vergelijking Data'!E$5,Database!$A:$A,0)+IF(OR(E$6="Elektrisch",E$6="Electric"),1,IF(OR(E$6="Waterstof",E$6="Hydrogen"),2,0)),MATCH($C39,Database!$A$1:$CZ$1,0))</f>
        <v>2.1412261640257486</v>
      </c>
      <c r="F39" s="235">
        <f>INDEX(Database!$A:$CZ,MATCH('Vergelijking Data'!F$5,Database!$A:$A,0)+IF(OR(F$6="Elektrisch",F$6="Electric"),1,IF(OR(F$6="Waterstof",F$6="Hydrogen"),2,0)),MATCH($C39,Database!$A$1:$CZ$1,0))</f>
        <v>2.5331131144059231</v>
      </c>
      <c r="I39"/>
    </row>
    <row r="40" spans="3:9" ht="16.7" customHeight="1" x14ac:dyDescent="0.15">
      <c r="C40" s="229" t="str">
        <f>+Config!$B$235</f>
        <v>Totale kosten per uur</v>
      </c>
      <c r="D40" s="235">
        <f>INDEX(Database!$A:$CZ,MATCH('Vergelijking Data'!D$5,Database!$A:$A,0)+IF(OR(D$6="Elektrisch",D$6="Electric"),1,IF(OR(D$6="Waterstof",D$6="Hydrogen"),2,0)),MATCH($C40,Database!$A$1:$CZ$1,0))</f>
        <v>53.27116145753574</v>
      </c>
      <c r="E40" s="235">
        <f>INDEX(Database!$A:$CZ,MATCH('Vergelijking Data'!E$5,Database!$A:$A,0)+IF(OR(E$6="Elektrisch",E$6="Electric"),1,IF(OR(E$6="Waterstof",E$6="Hydrogen"),2,0)),MATCH($C40,Database!$A$1:$CZ$1,0))</f>
        <v>58.095283520078446</v>
      </c>
      <c r="F40" s="235">
        <f>INDEX(Database!$A:$CZ,MATCH('Vergelijking Data'!F$5,Database!$A:$A,0)+IF(OR(F$6="Elektrisch",F$6="Electric"),1,IF(OR(F$6="Waterstof",F$6="Hydrogen"),2,0)),MATCH($C40,Database!$A$1:$CZ$1,0))</f>
        <v>69.536438434672405</v>
      </c>
      <c r="I40"/>
    </row>
    <row r="41" spans="3:9" ht="16.7" customHeight="1" x14ac:dyDescent="0.15">
      <c r="C41" s="229" t="str">
        <f>+Config!$B$236</f>
        <v>HBE Toepassen (J/N)</v>
      </c>
      <c r="D41" s="235">
        <f>INDEX(Database!$A:$CZ,MATCH('Vergelijking Data'!D$5,Database!$A:$A,0)+IF(OR(D$6="Elektrisch",D$6="Electric"),1,IF(OR(D$6="Waterstof",D$6="Hydrogen"),2,0)),MATCH($C41,Database!$A$1:$CZ$1,0))</f>
        <v>0</v>
      </c>
      <c r="E41" s="235" t="str">
        <f>INDEX(Database!$A:$CZ,MATCH('Vergelijking Data'!E$5,Database!$A:$A,0)+IF(OR(E$6="Elektrisch",E$6="Electric"),1,IF(OR(E$6="Waterstof",E$6="Hydrogen"),2,0)),MATCH($C41,Database!$A$1:$CZ$1,0))</f>
        <v>N</v>
      </c>
      <c r="F41" s="235" t="str">
        <f>INDEX(Database!$A:$CZ,MATCH('Vergelijking Data'!F$5,Database!$A:$A,0)+IF(OR(F$6="Elektrisch",F$6="Electric"),1,IF(OR(F$6="Waterstof",F$6="Hydrogen"),2,0)),MATCH($C41,Database!$A$1:$CZ$1,0))</f>
        <v>J</v>
      </c>
      <c r="I41"/>
    </row>
    <row r="42" spans="3:9" ht="16.7" customHeight="1" x14ac:dyDescent="0.15">
      <c r="C42" s="229" t="str">
        <f>+Config!$B$237</f>
        <v>Aantal HBE's</v>
      </c>
      <c r="D42" s="236">
        <f>INDEX(Database!$A:$CZ,MATCH('Vergelijking Data'!D$5,Database!$A:$A,0)+IF(OR(D$6="Elektrisch",D$6="Electric"),1,IF(OR(D$6="Waterstof",D$6="Hydrogen"),2,0)),MATCH($C42,Database!$A$1:$CZ$1,0))</f>
        <v>0</v>
      </c>
      <c r="E42" s="236">
        <f>INDEX(Database!$A:$CZ,MATCH('Vergelijking Data'!E$5,Database!$A:$A,0)+IF(OR(E$6="Elektrisch",E$6="Electric"),1,IF(OR(E$6="Waterstof",E$6="Hydrogen"),2,0)),MATCH($C42,Database!$A$1:$CZ$1,0))</f>
        <v>955</v>
      </c>
      <c r="F42" s="236">
        <f>INDEX(Database!$A:$CZ,MATCH('Vergelijking Data'!F$5,Database!$A:$A,0)+IF(OR(F$6="Elektrisch",F$6="Electric"),1,IF(OR(F$6="Waterstof",F$6="Hydrogen"),2,0)),MATCH($C42,Database!$A$1:$CZ$1,0))</f>
        <v>1317</v>
      </c>
      <c r="I42"/>
    </row>
    <row r="43" spans="3:9" ht="16.7" customHeight="1" x14ac:dyDescent="0.15">
      <c r="C43" s="229" t="str">
        <f>+Config!$B$238</f>
        <v>Totale waarde HBE's</v>
      </c>
      <c r="D43" s="235">
        <f>INDEX(Database!$A:$CZ,MATCH('Vergelijking Data'!D$5,Database!$A:$A,0)+IF(OR(D$6="Elektrisch",D$6="Electric"),1,IF(OR(D$6="Waterstof",D$6="Hydrogen"),2,0)),MATCH($C43,Database!$A$1:$CZ$1,0))</f>
        <v>0</v>
      </c>
      <c r="E43" s="235">
        <f>INDEX(Database!$A:$CZ,MATCH('Vergelijking Data'!E$5,Database!$A:$A,0)+IF(OR(E$6="Elektrisch",E$6="Electric"),1,IF(OR(E$6="Waterstof",E$6="Hydrogen"),2,0)),MATCH($C43,Database!$A$1:$CZ$1,0))</f>
        <v>0</v>
      </c>
      <c r="F43" s="235">
        <f>INDEX(Database!$A:$CZ,MATCH('Vergelijking Data'!F$5,Database!$A:$A,0)+IF(OR(F$6="Elektrisch",F$6="Electric"),1,IF(OR(F$6="Waterstof",F$6="Hydrogen"),2,0)),MATCH($C43,Database!$A$1:$CZ$1,0))</f>
        <v>23706</v>
      </c>
      <c r="I43"/>
    </row>
    <row r="44" spans="3:9" ht="16.7" customHeight="1" x14ac:dyDescent="0.15">
      <c r="C44" s="229" t="str">
        <f>+Config!$B$239</f>
        <v>Emissies (totaal per jaar voor het geselecteerde voertuig)</v>
      </c>
      <c r="D44" s="237">
        <f>INDEX(Database!$A:$CZ,MATCH('Vergelijking Data'!D$5,Database!$A:$A,0)+IF(OR(D$6="Elektrisch",D$6="Electric"),1,IF(OR(D$6="Waterstof",D$6="Hydrogen"),2,0)),MATCH($C44,Database!$A$1:$CZ$1,0))</f>
        <v>0</v>
      </c>
      <c r="E44" s="237">
        <f>INDEX(Database!$A:$CZ,MATCH('Vergelijking Data'!E$5,Database!$A:$A,0)+IF(OR(E$6="Elektrisch",E$6="Electric"),1,IF(OR(E$6="Waterstof",E$6="Hydrogen"),2,0)),MATCH($C44,Database!$A$1:$CZ$1,0))</f>
        <v>0</v>
      </c>
      <c r="F44" s="237">
        <f>INDEX(Database!$A:$CZ,MATCH('Vergelijking Data'!F$5,Database!$A:$A,0)+IF(OR(F$6="Elektrisch",F$6="Electric"),1,IF(OR(F$6="Waterstof",F$6="Hydrogen"),2,0)),MATCH($C44,Database!$A$1:$CZ$1,0))</f>
        <v>0</v>
      </c>
      <c r="I44"/>
    </row>
    <row r="45" spans="3:9" ht="16.7" customHeight="1" x14ac:dyDescent="0.15">
      <c r="C45" s="229" t="str">
        <f>+Config!$B$240</f>
        <v>CO2 emissies (ton per jaar, WtW)</v>
      </c>
      <c r="D45" s="237">
        <f>INDEX(Database!$A:$CZ,MATCH('Vergelijking Data'!D$5,Database!$A:$A,0)+IF(OR(D$6="Elektrisch",D$6="Electric"),1,IF(OR(D$6="Waterstof",D$6="Hydrogen"),2,0)),MATCH($C45,Database!$A$1:$CZ$1,0))</f>
        <v>45.657259186752313</v>
      </c>
      <c r="E45" s="237">
        <f>INDEX(Database!$A:$CZ,MATCH('Vergelijking Data'!E$5,Database!$A:$A,0)+IF(OR(E$6="Elektrisch",E$6="Electric"),1,IF(OR(E$6="Waterstof",E$6="Hydrogen"),2,0)),MATCH($C45,Database!$A$1:$CZ$1,0))</f>
        <v>0</v>
      </c>
      <c r="F45" s="237">
        <f>INDEX(Database!$A:$CZ,MATCH('Vergelijking Data'!F$5,Database!$A:$A,0)+IF(OR(F$6="Elektrisch",F$6="Electric"),1,IF(OR(F$6="Waterstof",F$6="Hydrogen"),2,0)),MATCH($C45,Database!$A$1:$CZ$1,0))</f>
        <v>0</v>
      </c>
      <c r="I45"/>
    </row>
    <row r="46" spans="3:9" ht="16.7" customHeight="1" x14ac:dyDescent="0.15">
      <c r="C46" s="229" t="str">
        <f>+Config!$B$241</f>
        <v>PM totaal (kg per jaar, TtW)</v>
      </c>
      <c r="D46" s="237">
        <f>INDEX(Database!$A:$CZ,MATCH('Vergelijking Data'!D$5,Database!$A:$A,0)+IF(OR(D$6="Elektrisch",D$6="Electric"),1,IF(OR(D$6="Waterstof",D$6="Hydrogen"),2,0)),MATCH($C46,Database!$A$1:$CZ$1,0))</f>
        <v>6.2592770289873965</v>
      </c>
      <c r="E46" s="237">
        <f>INDEX(Database!$A:$CZ,MATCH('Vergelijking Data'!E$5,Database!$A:$A,0)+IF(OR(E$6="Elektrisch",E$6="Electric"),1,IF(OR(E$6="Waterstof",E$6="Hydrogen"),2,0)),MATCH($C46,Database!$A$1:$CZ$1,0))</f>
        <v>5.6844816480881075</v>
      </c>
      <c r="F46" s="237">
        <f>INDEX(Database!$A:$CZ,MATCH('Vergelijking Data'!F$5,Database!$A:$A,0)+IF(OR(F$6="Elektrisch",F$6="Electric"),1,IF(OR(F$6="Waterstof",F$6="Hydrogen"),2,0)),MATCH($C46,Database!$A$1:$CZ$1,0))</f>
        <v>5.6844816480881075</v>
      </c>
      <c r="I46"/>
    </row>
    <row r="47" spans="3:9" ht="16.7" customHeight="1" x14ac:dyDescent="0.15">
      <c r="C47" s="229" t="str">
        <f>+Config!$B$242</f>
        <v>NOx (kg per jaar, TtW)</v>
      </c>
      <c r="D47" s="237">
        <f>INDEX(Database!$A:$CZ,MATCH('Vergelijking Data'!D$5,Database!$A:$A,0)+IF(OR(D$6="Elektrisch",D$6="Electric"),1,IF(OR(D$6="Waterstof",D$6="Hydrogen"),2,0)),MATCH($C47,Database!$A$1:$CZ$1,0))</f>
        <v>64.838766671675643</v>
      </c>
      <c r="E47" s="237" t="str">
        <f>INDEX(Database!$A:$CZ,MATCH('Vergelijking Data'!E$5,Database!$A:$A,0)+IF(OR(E$6="Elektrisch",E$6="Electric"),1,IF(OR(E$6="Waterstof",E$6="Hydrogen"),2,0)),MATCH($C47,Database!$A$1:$CZ$1,0))</f>
        <v>nvt</v>
      </c>
      <c r="F47" s="237" t="str">
        <f>INDEX(Database!$A:$CZ,MATCH('Vergelijking Data'!F$5,Database!$A:$A,0)+IF(OR(F$6="Elektrisch",F$6="Electric"),1,IF(OR(F$6="Waterstof",F$6="Hydrogen"),2,0)),MATCH($C47,Database!$A$1:$CZ$1,0))</f>
        <v>nvt</v>
      </c>
      <c r="I47"/>
    </row>
    <row r="48" spans="3:9" ht="18" customHeight="1" x14ac:dyDescent="0.15">
      <c r="C48" s="30"/>
      <c r="D48" s="30"/>
      <c r="I48"/>
    </row>
    <row r="49" spans="2:9" ht="18" customHeight="1" x14ac:dyDescent="0.15">
      <c r="I49"/>
    </row>
    <row r="50" spans="2:9" ht="18" customHeight="1" x14ac:dyDescent="0.15">
      <c r="B50" s="212"/>
      <c r="C50" s="213"/>
      <c r="D50" s="212"/>
      <c r="E50" s="212"/>
      <c r="F50" s="212"/>
      <c r="G50" s="212"/>
      <c r="I50"/>
    </row>
    <row r="51" spans="2:9" ht="18" customHeight="1" x14ac:dyDescent="0.15">
      <c r="B51" s="212"/>
      <c r="C51" s="213"/>
      <c r="D51" s="212"/>
      <c r="E51" s="212"/>
      <c r="F51" s="212"/>
      <c r="G51" s="212"/>
      <c r="I51"/>
    </row>
    <row r="52" spans="2:9" ht="18" customHeight="1" x14ac:dyDescent="0.15">
      <c r="B52" s="212"/>
      <c r="C52" s="213"/>
      <c r="D52" s="212"/>
      <c r="E52" s="212"/>
      <c r="F52" s="212"/>
      <c r="G52" s="212"/>
      <c r="I52"/>
    </row>
    <row r="53" spans="2:9" ht="18" customHeight="1" x14ac:dyDescent="0.15">
      <c r="B53" s="212"/>
      <c r="C53" s="213"/>
      <c r="D53" s="212"/>
      <c r="E53" s="212"/>
      <c r="F53" s="212"/>
      <c r="G53" s="212"/>
      <c r="I53"/>
    </row>
    <row r="54" spans="2:9" ht="18" customHeight="1" x14ac:dyDescent="0.15">
      <c r="B54" s="212"/>
      <c r="C54" s="213"/>
      <c r="D54" s="212"/>
      <c r="E54" s="212"/>
      <c r="F54" s="212"/>
      <c r="G54" s="212"/>
      <c r="I54"/>
    </row>
    <row r="55" spans="2:9" ht="18" customHeight="1" x14ac:dyDescent="0.15">
      <c r="B55" s="212"/>
      <c r="C55" s="213"/>
      <c r="D55" s="212"/>
      <c r="E55" s="212"/>
      <c r="F55" s="212"/>
      <c r="G55" s="212"/>
      <c r="I55"/>
    </row>
    <row r="56" spans="2:9" ht="18" customHeight="1" x14ac:dyDescent="0.15">
      <c r="B56" s="212"/>
      <c r="C56" s="213"/>
      <c r="D56" s="212"/>
      <c r="E56" s="212"/>
      <c r="F56" s="212"/>
      <c r="G56" s="212"/>
      <c r="I56"/>
    </row>
    <row r="57" spans="2:9" ht="18" customHeight="1" x14ac:dyDescent="0.15">
      <c r="B57" s="212"/>
      <c r="C57" s="213"/>
      <c r="D57" s="212"/>
      <c r="E57" s="212"/>
      <c r="F57" s="212"/>
      <c r="G57" s="212"/>
      <c r="I57"/>
    </row>
    <row r="58" spans="2:9" ht="18" customHeight="1" x14ac:dyDescent="0.15">
      <c r="B58" s="212"/>
      <c r="C58" s="213"/>
      <c r="D58" s="212"/>
      <c r="E58" s="212"/>
      <c r="F58" s="212"/>
      <c r="G58" s="212"/>
      <c r="I58"/>
    </row>
    <row r="59" spans="2:9" ht="18" customHeight="1" x14ac:dyDescent="0.15">
      <c r="B59" s="212"/>
      <c r="C59" s="213"/>
      <c r="D59" s="212"/>
      <c r="E59" s="212"/>
      <c r="F59" s="212"/>
      <c r="G59" s="212"/>
      <c r="I59"/>
    </row>
    <row r="60" spans="2:9" ht="18" customHeight="1" x14ac:dyDescent="0.15">
      <c r="B60" s="212"/>
      <c r="C60" s="213"/>
      <c r="D60" s="212"/>
      <c r="E60" s="212"/>
      <c r="F60" s="212"/>
      <c r="G60" s="212"/>
      <c r="I60"/>
    </row>
    <row r="61" spans="2:9" ht="18" customHeight="1" x14ac:dyDescent="0.15">
      <c r="B61" s="212"/>
      <c r="C61" s="213"/>
      <c r="D61" s="212"/>
      <c r="E61" s="212"/>
      <c r="F61" s="212"/>
      <c r="G61" s="212"/>
      <c r="I61"/>
    </row>
    <row r="62" spans="2:9" ht="18" customHeight="1" x14ac:dyDescent="0.15">
      <c r="B62" s="212"/>
      <c r="C62" s="213"/>
      <c r="D62" s="212"/>
      <c r="E62" s="212"/>
      <c r="F62" s="212"/>
      <c r="G62" s="212"/>
      <c r="I62"/>
    </row>
    <row r="63" spans="2:9" ht="18" customHeight="1" x14ac:dyDescent="0.15">
      <c r="B63" s="212"/>
      <c r="C63" s="213"/>
      <c r="D63" s="212"/>
      <c r="E63" s="212"/>
      <c r="F63" s="212"/>
      <c r="G63" s="212"/>
      <c r="I63"/>
    </row>
    <row r="64" spans="2:9" ht="18" customHeight="1" x14ac:dyDescent="0.15">
      <c r="B64" s="212"/>
      <c r="C64" s="213"/>
      <c r="D64" s="212"/>
      <c r="E64" s="212"/>
      <c r="F64" s="212"/>
      <c r="G64" s="212"/>
      <c r="I64"/>
    </row>
    <row r="65" spans="2:9" ht="18" customHeight="1" x14ac:dyDescent="0.15">
      <c r="B65" s="212"/>
      <c r="C65" s="213"/>
      <c r="D65" s="212"/>
      <c r="E65" s="212"/>
      <c r="F65" s="212"/>
      <c r="G65" s="212"/>
      <c r="I65"/>
    </row>
    <row r="66" spans="2:9" ht="18" customHeight="1" x14ac:dyDescent="0.15">
      <c r="B66" s="212"/>
      <c r="C66" s="213"/>
      <c r="D66" s="212"/>
      <c r="E66" s="212"/>
      <c r="F66" s="212"/>
      <c r="G66" s="212"/>
      <c r="I66"/>
    </row>
    <row r="67" spans="2:9" ht="18" customHeight="1" x14ac:dyDescent="0.15">
      <c r="B67" s="212"/>
      <c r="C67" s="213"/>
      <c r="D67" s="212"/>
      <c r="E67" s="212"/>
      <c r="F67" s="212"/>
      <c r="G67" s="212"/>
      <c r="I67"/>
    </row>
    <row r="68" spans="2:9" ht="18" customHeight="1" x14ac:dyDescent="0.15">
      <c r="B68" s="212"/>
      <c r="C68" s="213"/>
      <c r="D68" s="212"/>
      <c r="E68" s="212"/>
      <c r="F68" s="212"/>
      <c r="G68" s="212"/>
      <c r="I68"/>
    </row>
    <row r="69" spans="2:9" ht="18" customHeight="1" x14ac:dyDescent="0.15">
      <c r="B69" s="212"/>
      <c r="C69" s="213"/>
      <c r="D69" s="212"/>
      <c r="E69" s="212"/>
      <c r="F69" s="212"/>
      <c r="G69" s="212"/>
      <c r="I69"/>
    </row>
    <row r="70" spans="2:9" ht="18" customHeight="1" x14ac:dyDescent="0.15">
      <c r="B70" s="212"/>
      <c r="C70" s="213"/>
      <c r="D70" s="212"/>
      <c r="E70" s="212"/>
      <c r="F70" s="212"/>
      <c r="G70" s="212"/>
      <c r="I70"/>
    </row>
    <row r="71" spans="2:9" ht="18" customHeight="1" x14ac:dyDescent="0.15">
      <c r="B71" s="212"/>
      <c r="C71" s="213"/>
      <c r="D71" s="212"/>
      <c r="E71" s="212"/>
      <c r="F71" s="212"/>
      <c r="G71" s="212"/>
      <c r="I71"/>
    </row>
    <row r="72" spans="2:9" ht="18" customHeight="1" x14ac:dyDescent="0.15">
      <c r="B72" s="212"/>
      <c r="C72" s="213"/>
      <c r="D72" s="212"/>
      <c r="E72" s="212"/>
      <c r="F72" s="212"/>
      <c r="G72" s="212"/>
      <c r="I72"/>
    </row>
    <row r="73" spans="2:9" ht="18" customHeight="1" x14ac:dyDescent="0.15">
      <c r="B73" s="212"/>
      <c r="C73" s="213"/>
      <c r="D73" s="212"/>
      <c r="E73" s="212"/>
      <c r="F73" s="212"/>
      <c r="G73" s="212"/>
      <c r="I73"/>
    </row>
    <row r="74" spans="2:9" ht="18" customHeight="1" x14ac:dyDescent="0.15">
      <c r="B74" s="212"/>
      <c r="C74" s="213"/>
      <c r="D74" s="212"/>
      <c r="E74" s="212"/>
      <c r="F74" s="212"/>
      <c r="G74" s="212"/>
      <c r="I74"/>
    </row>
    <row r="75" spans="2:9" ht="18" customHeight="1" x14ac:dyDescent="0.15">
      <c r="B75" s="212"/>
      <c r="C75" s="213"/>
      <c r="D75" s="212"/>
      <c r="E75" s="212"/>
      <c r="F75" s="212"/>
      <c r="G75" s="212"/>
      <c r="I75"/>
    </row>
    <row r="76" spans="2:9" ht="18" customHeight="1" x14ac:dyDescent="0.15">
      <c r="B76" s="212"/>
      <c r="C76" s="213"/>
      <c r="D76" s="212"/>
      <c r="E76" s="212"/>
      <c r="F76" s="212"/>
      <c r="G76" s="212"/>
      <c r="I76"/>
    </row>
    <row r="77" spans="2:9" ht="18" customHeight="1" x14ac:dyDescent="0.15">
      <c r="B77" s="212"/>
      <c r="C77" s="213"/>
      <c r="D77" s="212"/>
      <c r="E77" s="212"/>
      <c r="F77" s="212"/>
      <c r="G77" s="212"/>
      <c r="I77"/>
    </row>
    <row r="78" spans="2:9" ht="18" customHeight="1" x14ac:dyDescent="0.15">
      <c r="B78" s="212"/>
      <c r="C78" s="213"/>
      <c r="D78" s="212"/>
      <c r="E78" s="212"/>
      <c r="F78" s="212"/>
      <c r="G78" s="212"/>
      <c r="I78"/>
    </row>
    <row r="79" spans="2:9" ht="18" customHeight="1" x14ac:dyDescent="0.15">
      <c r="B79" s="212"/>
      <c r="C79" s="213"/>
      <c r="D79" s="212"/>
      <c r="E79" s="212"/>
      <c r="F79" s="212"/>
      <c r="G79" s="212"/>
      <c r="I79"/>
    </row>
    <row r="80" spans="2:9" ht="18" customHeight="1" x14ac:dyDescent="0.15">
      <c r="B80" s="212"/>
      <c r="C80" s="213"/>
      <c r="D80" s="212"/>
      <c r="E80" s="212"/>
      <c r="F80" s="212"/>
      <c r="G80" s="212"/>
      <c r="I80"/>
    </row>
    <row r="81" spans="2:9" ht="18" customHeight="1" x14ac:dyDescent="0.15">
      <c r="B81" s="212"/>
      <c r="C81" s="213"/>
      <c r="D81" s="212"/>
      <c r="E81" s="212"/>
      <c r="F81" s="212"/>
      <c r="G81" s="212"/>
      <c r="I81"/>
    </row>
    <row r="82" spans="2:9" ht="18" customHeight="1" x14ac:dyDescent="0.15">
      <c r="B82" s="212"/>
      <c r="C82" s="213"/>
      <c r="D82" s="212"/>
      <c r="E82" s="212"/>
      <c r="F82" s="212"/>
      <c r="G82" s="212"/>
      <c r="I82"/>
    </row>
    <row r="83" spans="2:9" ht="18" customHeight="1" x14ac:dyDescent="0.15">
      <c r="B83" s="212"/>
      <c r="C83" s="213"/>
      <c r="D83" s="212"/>
      <c r="E83" s="212"/>
      <c r="F83" s="212"/>
      <c r="G83" s="212"/>
      <c r="I83"/>
    </row>
    <row r="84" spans="2:9" ht="18" customHeight="1" x14ac:dyDescent="0.15">
      <c r="B84" s="212"/>
      <c r="C84" s="213"/>
      <c r="D84" s="212"/>
      <c r="E84" s="212"/>
      <c r="F84" s="212"/>
      <c r="G84" s="212"/>
      <c r="I84"/>
    </row>
    <row r="85" spans="2:9" ht="18" customHeight="1" x14ac:dyDescent="0.15">
      <c r="B85" s="212"/>
      <c r="C85" s="213"/>
      <c r="D85" s="212"/>
      <c r="E85" s="212"/>
      <c r="F85" s="212"/>
      <c r="G85" s="212"/>
      <c r="I85"/>
    </row>
    <row r="86" spans="2:9" ht="18" customHeight="1" x14ac:dyDescent="0.15">
      <c r="B86" s="212"/>
      <c r="C86" s="213"/>
      <c r="D86" s="212"/>
      <c r="E86" s="212"/>
      <c r="F86" s="212"/>
      <c r="G86" s="212"/>
      <c r="I86"/>
    </row>
    <row r="87" spans="2:9" ht="18" customHeight="1" x14ac:dyDescent="0.15">
      <c r="I87"/>
    </row>
    <row r="88" spans="2:9" ht="18" customHeight="1" x14ac:dyDescent="0.15">
      <c r="I88"/>
    </row>
    <row r="89" spans="2:9" ht="18" hidden="1" customHeight="1" x14ac:dyDescent="0.15">
      <c r="I89"/>
    </row>
    <row r="90" spans="2:9" ht="18" hidden="1" customHeight="1" x14ac:dyDescent="0.15">
      <c r="I90"/>
    </row>
    <row r="91" spans="2:9" ht="18" hidden="1" customHeight="1" x14ac:dyDescent="0.15">
      <c r="I91"/>
    </row>
    <row r="92" spans="2:9" ht="18" hidden="1" customHeight="1" x14ac:dyDescent="0.15">
      <c r="I92"/>
    </row>
    <row r="93" spans="2:9" ht="18" hidden="1" customHeight="1" x14ac:dyDescent="0.15">
      <c r="I93"/>
    </row>
    <row r="94" spans="2:9" ht="18" customHeight="1" x14ac:dyDescent="0.15">
      <c r="I94"/>
    </row>
    <row r="95" spans="2:9" ht="18" customHeight="1" x14ac:dyDescent="0.15">
      <c r="I95"/>
    </row>
    <row r="96" spans="2:9" ht="18" customHeight="1" x14ac:dyDescent="0.15">
      <c r="I96"/>
    </row>
    <row r="97" spans="9:9" ht="18" customHeight="1" x14ac:dyDescent="0.15">
      <c r="I97"/>
    </row>
  </sheetData>
  <mergeCells count="1">
    <mergeCell ref="C3:F3"/>
  </mergeCells>
  <dataValidations count="1">
    <dataValidation type="list" allowBlank="1" showInputMessage="1" showErrorMessage="1" sqref="D5:F5" xr:uid="{00000000-0002-0000-0200-000000000000}">
      <formula1>DataSets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Config!$B$201:$B$203</xm:f>
          </x14:formula1>
          <xm:sqref>D6:F6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499984740745262"/>
  </sheetPr>
  <dimension ref="A1:I23"/>
  <sheetViews>
    <sheetView workbookViewId="0">
      <selection activeCell="C35" sqref="C35"/>
    </sheetView>
  </sheetViews>
  <sheetFormatPr defaultRowHeight="10.5" x14ac:dyDescent="0.15"/>
  <cols>
    <col min="1" max="1" width="28" bestFit="1" customWidth="1"/>
    <col min="2" max="2" width="22.5703125" customWidth="1"/>
    <col min="3" max="3" width="21.5703125" customWidth="1"/>
    <col min="4" max="4" width="27.7109375" bestFit="1" customWidth="1"/>
    <col min="5" max="5" width="27.85546875" bestFit="1" customWidth="1"/>
    <col min="6" max="6" width="24.140625" bestFit="1" customWidth="1"/>
    <col min="7" max="7" width="35.42578125" bestFit="1" customWidth="1"/>
    <col min="8" max="8" width="19.28515625" bestFit="1" customWidth="1"/>
    <col min="9" max="9" width="19.140625" bestFit="1" customWidth="1"/>
  </cols>
  <sheetData>
    <row r="1" spans="1:9" x14ac:dyDescent="0.15">
      <c r="A1" t="s">
        <v>126</v>
      </c>
      <c r="B1" t="s">
        <v>12</v>
      </c>
      <c r="C1" t="s">
        <v>14</v>
      </c>
      <c r="D1" t="s">
        <v>17</v>
      </c>
      <c r="E1" s="85" t="s">
        <v>19</v>
      </c>
      <c r="F1" s="85" t="s">
        <v>22</v>
      </c>
      <c r="G1" s="85" t="s">
        <v>24</v>
      </c>
      <c r="H1" s="85" t="s">
        <v>26</v>
      </c>
      <c r="I1" s="85" t="s">
        <v>27</v>
      </c>
    </row>
    <row r="2" spans="1:9" x14ac:dyDescent="0.15">
      <c r="A2" t="str">
        <f>+Config!B157</f>
        <v>Defaultwaarde</v>
      </c>
      <c r="C2" t="str">
        <f>+Config!B178</f>
        <v>niet gekoeld</v>
      </c>
      <c r="D2" s="84"/>
      <c r="E2" t="str">
        <f>+Config!B186</f>
        <v>Groen</v>
      </c>
      <c r="F2" t="str">
        <f>F6</f>
        <v>Electrolyse (hernieuwbare energie)</v>
      </c>
      <c r="G2" t="str">
        <f>+Config!B187</f>
        <v>BV of NV met 15% belasting</v>
      </c>
      <c r="H2">
        <v>2022</v>
      </c>
      <c r="I2" t="str">
        <f>+Config!B188</f>
        <v>Groot</v>
      </c>
    </row>
    <row r="3" spans="1:9" x14ac:dyDescent="0.15">
      <c r="A3" t="str">
        <f>+Config!B158</f>
        <v>keuze 1</v>
      </c>
      <c r="B3" t="str">
        <f>+Config!B173</f>
        <v>Kleine bakwagen (lvm &lt;12 ton)</v>
      </c>
      <c r="C3" t="str">
        <f>IFERROR(IF(Calculatie!$B$3&gt;=4,Config!$B$178,Config!$B$179),Config!$B$179)</f>
        <v>gekoeld</v>
      </c>
      <c r="D3" s="84">
        <v>35000</v>
      </c>
      <c r="E3" t="str">
        <f>+Config!B6</f>
        <v>Grijs</v>
      </c>
      <c r="F3" t="str">
        <f>Config!B6</f>
        <v>Grijs</v>
      </c>
      <c r="G3" t="str">
        <f>+Config!B187</f>
        <v>BV of NV met 15% belasting</v>
      </c>
      <c r="I3" t="str">
        <f>+Config!B188</f>
        <v>Groot</v>
      </c>
    </row>
    <row r="4" spans="1:9" x14ac:dyDescent="0.15">
      <c r="A4" t="str">
        <f>+Config!B159</f>
        <v>keuze 2</v>
      </c>
      <c r="B4" t="str">
        <f>+Config!B174</f>
        <v>Medium bakwagen (lvm 12-18 ton)</v>
      </c>
      <c r="C4" t="str">
        <f>IFERROR(IF(Calculatie!$B$3&gt;=4,"",Config!$B$178),Config!$B$178)</f>
        <v>niet gekoeld</v>
      </c>
      <c r="D4" s="84">
        <v>70000</v>
      </c>
      <c r="E4" t="str">
        <f>+Config!B186</f>
        <v>Groen</v>
      </c>
      <c r="F4" t="str">
        <f>Config!B7</f>
        <v>Blauw</v>
      </c>
      <c r="G4" t="str">
        <f>+Config!B180</f>
        <v>BV of NV met 25,8% belasting</v>
      </c>
      <c r="I4" t="str">
        <f>+Config!B183</f>
        <v>Middelgroot</v>
      </c>
    </row>
    <row r="5" spans="1:9" x14ac:dyDescent="0.15">
      <c r="A5" t="str">
        <f>+Config!B160</f>
        <v>keuze 3</v>
      </c>
      <c r="B5" t="str">
        <f>+Config!B175</f>
        <v>Grote bakwagen (lvm &gt;18 ton)</v>
      </c>
      <c r="D5" s="84">
        <v>70000</v>
      </c>
      <c r="F5" t="str">
        <f>Config!B8</f>
        <v>Electrolyse (netstroom)</v>
      </c>
      <c r="G5" t="str">
        <f>+Config!B181</f>
        <v>Eenmanszaak met 37,07% belasting</v>
      </c>
      <c r="I5" t="str">
        <f>+Config!B184</f>
        <v>Klein</v>
      </c>
    </row>
    <row r="6" spans="1:9" x14ac:dyDescent="0.15">
      <c r="A6" t="str">
        <f>+Config!B161</f>
        <v>keuze 4</v>
      </c>
      <c r="B6" t="str">
        <f>+Config!B176</f>
        <v>Lichte trekker z/opl (GVW &lt;40 ton)</v>
      </c>
      <c r="D6" s="84">
        <v>100000</v>
      </c>
      <c r="F6" t="str">
        <f>Config!B9</f>
        <v>Electrolyse (hernieuwbare energie)</v>
      </c>
      <c r="G6" t="str">
        <f>+Config!B182</f>
        <v>Eenmanszaak met 49,5% belasting</v>
      </c>
    </row>
    <row r="7" spans="1:9" x14ac:dyDescent="0.15">
      <c r="A7" t="str">
        <f>+Config!B162</f>
        <v>keuze 5</v>
      </c>
      <c r="B7" t="str">
        <f>+Config!B177</f>
        <v>Zware trekker z/opl (GVW &gt;40 ton)</v>
      </c>
      <c r="D7" s="84">
        <v>100000</v>
      </c>
    </row>
    <row r="8" spans="1:9" x14ac:dyDescent="0.15">
      <c r="A8" t="str">
        <f>+Config!B163</f>
        <v>keuze 6</v>
      </c>
      <c r="D8" s="84"/>
    </row>
    <row r="9" spans="1:9" x14ac:dyDescent="0.15">
      <c r="A9" t="str">
        <f>+Config!B164</f>
        <v>keuze 7</v>
      </c>
      <c r="D9" s="84"/>
    </row>
    <row r="10" spans="1:9" x14ac:dyDescent="0.15">
      <c r="A10" t="str">
        <f>+Config!B165</f>
        <v>keuze 8</v>
      </c>
      <c r="D10" s="84"/>
    </row>
    <row r="11" spans="1:9" x14ac:dyDescent="0.15">
      <c r="A11" t="str">
        <f>+Config!B166</f>
        <v>keuze 9</v>
      </c>
      <c r="D11" s="84"/>
    </row>
    <row r="12" spans="1:9" x14ac:dyDescent="0.15">
      <c r="A12" t="str">
        <f>+Config!B167</f>
        <v>keuze 10</v>
      </c>
      <c r="D12" s="84"/>
    </row>
    <row r="13" spans="1:9" x14ac:dyDescent="0.15">
      <c r="A13" t="str">
        <f>+Config!B168</f>
        <v>keuze 11</v>
      </c>
      <c r="D13" s="84"/>
    </row>
    <row r="14" spans="1:9" x14ac:dyDescent="0.15">
      <c r="A14" t="str">
        <f>+Config!B169</f>
        <v>keuze 12</v>
      </c>
      <c r="D14" s="84"/>
    </row>
    <row r="15" spans="1:9" x14ac:dyDescent="0.15">
      <c r="A15" t="str">
        <f>+Config!B170</f>
        <v>keuze 13</v>
      </c>
      <c r="D15" s="84"/>
    </row>
    <row r="16" spans="1:9" x14ac:dyDescent="0.15">
      <c r="A16" t="str">
        <f>+Config!B171</f>
        <v>keuze 14</v>
      </c>
      <c r="D16" s="84"/>
    </row>
    <row r="17" spans="1:4" x14ac:dyDescent="0.15">
      <c r="A17" t="str">
        <f>+Config!B172</f>
        <v>keuze 15</v>
      </c>
      <c r="D17" s="84"/>
    </row>
    <row r="19" spans="1:4" x14ac:dyDescent="0.15">
      <c r="B19" s="90" t="s">
        <v>163</v>
      </c>
    </row>
    <row r="20" spans="1:4" x14ac:dyDescent="0.15">
      <c r="A20" t="s">
        <v>160</v>
      </c>
      <c r="B20" t="s">
        <v>9</v>
      </c>
      <c r="C20" t="s">
        <v>10</v>
      </c>
      <c r="D20" t="s">
        <v>11</v>
      </c>
    </row>
    <row r="21" spans="1:4" x14ac:dyDescent="0.15">
      <c r="A21" t="str">
        <f>+Config!B24</f>
        <v>Economische levensduur [jaren]</v>
      </c>
      <c r="B21">
        <v>7</v>
      </c>
      <c r="C21">
        <v>7</v>
      </c>
      <c r="D21">
        <v>7</v>
      </c>
    </row>
    <row r="22" spans="1:4" x14ac:dyDescent="0.15">
      <c r="A22" t="str">
        <f>+Config!B26</f>
        <v>Productieve uren per jaar</v>
      </c>
      <c r="B22" s="84">
        <v>2600</v>
      </c>
      <c r="C22" s="84">
        <v>2600</v>
      </c>
      <c r="D22" s="84">
        <v>2600</v>
      </c>
    </row>
    <row r="23" spans="1:4" x14ac:dyDescent="0.15">
      <c r="A23" t="str">
        <f>+Config!B28</f>
        <v>Stilstand [dagen per jaar]</v>
      </c>
      <c r="B23">
        <v>0</v>
      </c>
      <c r="C23">
        <v>0</v>
      </c>
      <c r="D23">
        <v>0</v>
      </c>
    </row>
  </sheetData>
  <pageMargins left="0.7" right="0.7" top="0.75" bottom="0.75" header="0.3" footer="0.3"/>
  <pageSetup paperSize="0" orientation="portrait" horizontalDpi="0" verticalDpi="0" copies="0" r:id="rId1"/>
  <ignoredErrors>
    <ignoredError sqref="E3:E4" formula="1"/>
  </ignoredErrors>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499984740745262"/>
  </sheetPr>
  <dimension ref="A1:U57"/>
  <sheetViews>
    <sheetView topLeftCell="H16" workbookViewId="0">
      <selection activeCell="A4" sqref="A4"/>
    </sheetView>
  </sheetViews>
  <sheetFormatPr defaultRowHeight="10.5" x14ac:dyDescent="0.15"/>
  <cols>
    <col min="1" max="1" width="14.5703125" customWidth="1"/>
    <col min="2" max="2" width="17.5703125" bestFit="1" customWidth="1"/>
    <col min="3" max="3" width="20.85546875" customWidth="1"/>
    <col min="4" max="4" width="19.28515625" customWidth="1"/>
    <col min="5" max="5" width="19" customWidth="1"/>
    <col min="6" max="6" width="25.5703125" bestFit="1" customWidth="1"/>
    <col min="7" max="7" width="32" customWidth="1"/>
    <col min="8" max="8" width="29" bestFit="1" customWidth="1"/>
    <col min="9" max="9" width="19.28515625" customWidth="1"/>
    <col min="10" max="10" width="20.42578125" customWidth="1"/>
    <col min="11" max="11" width="19.85546875" customWidth="1"/>
    <col min="12" max="12" width="11.85546875" customWidth="1"/>
    <col min="13" max="13" width="13.5703125" customWidth="1"/>
    <col min="14" max="14" width="14" bestFit="1" customWidth="1"/>
    <col min="15" max="15" width="11.42578125" bestFit="1" customWidth="1"/>
    <col min="16" max="16" width="19.140625" bestFit="1" customWidth="1"/>
    <col min="17" max="18" width="14.7109375" customWidth="1"/>
    <col min="19" max="19" width="22.28515625" customWidth="1"/>
    <col min="20" max="20" width="29.28515625" customWidth="1"/>
    <col min="21" max="21" width="22.5703125" customWidth="1"/>
    <col min="22" max="22" width="26.5703125" customWidth="1"/>
  </cols>
  <sheetData>
    <row r="1" spans="1:18" x14ac:dyDescent="0.15">
      <c r="A1" s="90" t="s">
        <v>209</v>
      </c>
    </row>
    <row r="2" spans="1:18" ht="31.5" x14ac:dyDescent="0.15">
      <c r="A2" t="s">
        <v>164</v>
      </c>
      <c r="B2" t="s">
        <v>190</v>
      </c>
      <c r="C2" t="s">
        <v>165</v>
      </c>
      <c r="D2" t="s">
        <v>191</v>
      </c>
      <c r="E2" t="s">
        <v>166</v>
      </c>
      <c r="F2" t="s">
        <v>167</v>
      </c>
      <c r="G2" t="s">
        <v>168</v>
      </c>
      <c r="H2" t="s">
        <v>169</v>
      </c>
      <c r="I2" s="93" t="s">
        <v>170</v>
      </c>
      <c r="J2" t="s">
        <v>171</v>
      </c>
      <c r="K2" t="s">
        <v>172</v>
      </c>
      <c r="L2" t="s">
        <v>173</v>
      </c>
      <c r="M2" t="s">
        <v>415</v>
      </c>
      <c r="N2" t="s">
        <v>174</v>
      </c>
      <c r="O2" t="s">
        <v>175</v>
      </c>
      <c r="P2" t="s">
        <v>176</v>
      </c>
      <c r="Q2" t="s">
        <v>676</v>
      </c>
      <c r="R2" t="s">
        <v>906</v>
      </c>
    </row>
    <row r="3" spans="1:18" x14ac:dyDescent="0.15">
      <c r="A3">
        <v>1</v>
      </c>
      <c r="B3" t="str">
        <f>Config!B190</f>
        <v>Kleine bakwagen</v>
      </c>
      <c r="C3">
        <v>1</v>
      </c>
      <c r="D3" t="s">
        <v>177</v>
      </c>
      <c r="E3">
        <v>1</v>
      </c>
      <c r="F3" t="str">
        <f>+VehicleCatalogus[[#This Row],[Veh. Type]]</f>
        <v>Kleine bakwagen</v>
      </c>
      <c r="G3" t="s">
        <v>178</v>
      </c>
      <c r="H3" s="88">
        <f>VLOOKUP(VehicleCatalogus[[#This Row],[Name]],Indexatie!$C:$D,2,FALSE)</f>
        <v>71875</v>
      </c>
      <c r="I3">
        <v>0.1023274910240381</v>
      </c>
      <c r="J3">
        <v>1</v>
      </c>
      <c r="K3" s="92">
        <v>5.2364500000000008E-2</v>
      </c>
      <c r="L3" s="92">
        <v>315.89999999999998</v>
      </c>
      <c r="M3" s="92">
        <v>0</v>
      </c>
      <c r="Q3" s="88">
        <v>500</v>
      </c>
      <c r="R3" s="88">
        <f>IFERROR(INDEX(Indexatie!$E:$E,MATCH(CONCATENATE(Config!$B$245," ",VehicleCatalogus[[#This Row],[Veh. Type]]),Indexatie!$C:$C,0)),0)</f>
        <v>17500</v>
      </c>
    </row>
    <row r="4" spans="1:18" x14ac:dyDescent="0.15">
      <c r="A4">
        <v>2</v>
      </c>
      <c r="B4" t="str">
        <f>+Config!B191</f>
        <v>Medium bakwagen</v>
      </c>
      <c r="C4">
        <v>2</v>
      </c>
      <c r="D4" t="s">
        <v>177</v>
      </c>
      <c r="E4">
        <v>1</v>
      </c>
      <c r="F4" t="str">
        <f>+VehicleCatalogus[[#This Row],[Veh. Type]]</f>
        <v>Medium bakwagen</v>
      </c>
      <c r="G4" t="s">
        <v>178</v>
      </c>
      <c r="H4" s="88">
        <f>VLOOKUP(VehicleCatalogus[[#This Row],[Name]],Indexatie!$C:$D,2,FALSE)</f>
        <v>102062.49999999999</v>
      </c>
      <c r="I4">
        <v>0.20136262941514174</v>
      </c>
      <c r="J4">
        <v>1.5</v>
      </c>
      <c r="K4" s="92">
        <v>5.7599150000000002E-2</v>
      </c>
      <c r="L4" s="92">
        <v>315.89999999999998</v>
      </c>
      <c r="M4" s="92">
        <v>0</v>
      </c>
      <c r="Q4" s="88">
        <v>500</v>
      </c>
      <c r="R4" s="88">
        <f>IFERROR(INDEX(Indexatie!$E:$E,MATCH(CONCATENATE(Config!$B$245," ",VehicleCatalogus[[#This Row],[Veh. Type]]),Indexatie!$C:$C,0)),0)</f>
        <v>20000</v>
      </c>
    </row>
    <row r="5" spans="1:18" x14ac:dyDescent="0.15">
      <c r="A5">
        <v>3</v>
      </c>
      <c r="B5" t="str">
        <f>Config!B192</f>
        <v>Grote bakwagen</v>
      </c>
      <c r="C5">
        <v>3</v>
      </c>
      <c r="D5" t="s">
        <v>177</v>
      </c>
      <c r="E5">
        <v>1</v>
      </c>
      <c r="F5" t="str">
        <f>+VehicleCatalogus[[#This Row],[Veh. Type]]</f>
        <v>Grote bakwagen</v>
      </c>
      <c r="G5" t="s">
        <v>178</v>
      </c>
      <c r="H5" s="88">
        <f>VLOOKUP(VehicleCatalogus[[#This Row],[Name]],Indexatie!$C:$D,2,FALSE)</f>
        <v>132250</v>
      </c>
      <c r="I5">
        <v>0.28541791164119135</v>
      </c>
      <c r="J5">
        <v>2.5</v>
      </c>
      <c r="K5" s="92">
        <v>6.2833799999999995E-2</v>
      </c>
      <c r="L5" s="92">
        <v>315.89999999999998</v>
      </c>
      <c r="M5" s="92">
        <v>0</v>
      </c>
      <c r="Q5" s="88">
        <v>1000</v>
      </c>
      <c r="R5" s="88">
        <f>IFERROR(INDEX(Indexatie!$E:$E,MATCH(CONCATENATE(Config!$B$245," ",VehicleCatalogus[[#This Row],[Veh. Type]]),Indexatie!$C:$C,0)),0)</f>
        <v>22500</v>
      </c>
    </row>
    <row r="6" spans="1:18" x14ac:dyDescent="0.15">
      <c r="A6">
        <v>4</v>
      </c>
      <c r="B6" t="str">
        <f>+Config!B193</f>
        <v>Lichte trekker z/opl</v>
      </c>
      <c r="C6">
        <v>4</v>
      </c>
      <c r="D6" t="s">
        <v>177</v>
      </c>
      <c r="E6">
        <v>1</v>
      </c>
      <c r="F6" t="str">
        <f>+VehicleCatalogus[[#This Row],[Veh. Type]]</f>
        <v>Lichte trekker z/opl</v>
      </c>
      <c r="G6" t="s">
        <v>178</v>
      </c>
      <c r="H6" s="88">
        <f>VLOOKUP(VehicleCatalogus[[#This Row],[Name]],Indexatie!$C:$D,2,FALSE)</f>
        <v>109537.49999999999</v>
      </c>
      <c r="I6">
        <v>0.29566505637688012</v>
      </c>
      <c r="J6">
        <v>0</v>
      </c>
      <c r="K6" s="92">
        <v>7.3295699999999991E-2</v>
      </c>
      <c r="L6" s="92">
        <v>851.60879999999997</v>
      </c>
      <c r="M6" s="92">
        <v>0</v>
      </c>
      <c r="Q6" s="88">
        <v>1500</v>
      </c>
      <c r="R6" s="88">
        <f>IFERROR(INDEX(Indexatie!$E:$E,MATCH(CONCATENATE(Config!$B$245," ",VehicleCatalogus[[#This Row],[Veh. Type]]),Indexatie!$C:$C,0)),0)</f>
        <v>0</v>
      </c>
    </row>
    <row r="7" spans="1:18" x14ac:dyDescent="0.15">
      <c r="A7">
        <v>5</v>
      </c>
      <c r="B7" t="str">
        <f>Config!B194</f>
        <v>Zware trekker z/opl</v>
      </c>
      <c r="C7">
        <v>5</v>
      </c>
      <c r="D7" t="s">
        <v>177</v>
      </c>
      <c r="E7">
        <v>1</v>
      </c>
      <c r="F7" t="str">
        <f>+VehicleCatalogus[[#This Row],[Veh. Type]]</f>
        <v>Zware trekker z/opl</v>
      </c>
      <c r="G7" t="s">
        <v>178</v>
      </c>
      <c r="H7" s="88">
        <f>VLOOKUP(VehicleCatalogus[[#This Row],[Name]],Indexatie!$C:$D,2,FALSE)</f>
        <v>126499.99999999999</v>
      </c>
      <c r="I7">
        <v>0.44324279560022695</v>
      </c>
      <c r="J7">
        <v>0</v>
      </c>
      <c r="K7" s="92">
        <v>8.3757600000000001E-2</v>
      </c>
      <c r="L7" s="92">
        <v>851.60879999999997</v>
      </c>
      <c r="M7" s="92">
        <v>0</v>
      </c>
      <c r="Q7" s="88">
        <v>1500</v>
      </c>
      <c r="R7" s="88">
        <f>IFERROR(INDEX(Indexatie!$E:$E,MATCH(CONCATENATE(Config!$B$245," ",VehicleCatalogus[[#This Row],[Veh. Type]]),Indexatie!$C:$C,0)),0)</f>
        <v>0</v>
      </c>
    </row>
    <row r="8" spans="1:18" x14ac:dyDescent="0.15">
      <c r="A8">
        <v>6</v>
      </c>
      <c r="B8" t="str">
        <f>+B3</f>
        <v>Kleine bakwagen</v>
      </c>
      <c r="C8">
        <v>1</v>
      </c>
      <c r="D8" t="s">
        <v>179</v>
      </c>
      <c r="E8">
        <v>1</v>
      </c>
      <c r="F8" t="str">
        <f>+CONCATENATE(VehicleCatalogus[[#This Row],[Veh. Type]]," ",VehicleCatalogus[[#This Row],[Battery size]]," kWh")</f>
        <v>Kleine bakwagen 80 kWh</v>
      </c>
      <c r="G8" t="s">
        <v>180</v>
      </c>
      <c r="H8" s="88">
        <f>VLOOKUP(VehicleCatalogus[[#This Row],[Name]],Indexatie!$C:$D,2,FALSE)</f>
        <v>107635</v>
      </c>
      <c r="I8">
        <v>0.48154113423076755</v>
      </c>
      <c r="J8">
        <v>3.92</v>
      </c>
      <c r="K8" s="92">
        <v>2.6182250000000004E-2</v>
      </c>
      <c r="L8" s="92">
        <v>0</v>
      </c>
      <c r="M8" s="92">
        <v>0</v>
      </c>
      <c r="N8">
        <v>80</v>
      </c>
      <c r="Q8" s="88">
        <v>500</v>
      </c>
      <c r="R8" s="88">
        <f>IFERROR(INDEX(Indexatie!$E:$E,MATCH(CONCATENATE(Config!$B$245," ",VehicleCatalogus[[#This Row],[Veh. Type]]),Indexatie!$C:$C,0)),0)</f>
        <v>17500</v>
      </c>
    </row>
    <row r="9" spans="1:18" x14ac:dyDescent="0.15">
      <c r="A9">
        <v>7</v>
      </c>
      <c r="B9" t="str">
        <f>+B8</f>
        <v>Kleine bakwagen</v>
      </c>
      <c r="C9">
        <v>1</v>
      </c>
      <c r="D9" t="s">
        <v>179</v>
      </c>
      <c r="E9">
        <v>2</v>
      </c>
      <c r="F9" t="str">
        <f>+CONCATENATE(VehicleCatalogus[[#This Row],[Veh. Type]]," ",VehicleCatalogus[[#This Row],[Battery size]]," kWh")</f>
        <v>Kleine bakwagen 120 kWh</v>
      </c>
      <c r="G9" t="s">
        <v>180</v>
      </c>
      <c r="H9" s="88">
        <f>VLOOKUP(VehicleCatalogus[[#This Row],[Name]],Indexatie!$C:$D,2,FALSE)</f>
        <v>129265</v>
      </c>
      <c r="I9">
        <v>0.48154113423076755</v>
      </c>
      <c r="J9">
        <v>3.92</v>
      </c>
      <c r="K9" s="92">
        <v>2.6182250000000004E-2</v>
      </c>
      <c r="L9" s="92">
        <v>0</v>
      </c>
      <c r="M9" s="92">
        <v>0</v>
      </c>
      <c r="N9">
        <v>120</v>
      </c>
      <c r="Q9" s="88">
        <v>500</v>
      </c>
      <c r="R9" s="88">
        <f>IFERROR(INDEX(Indexatie!$E:$E,MATCH(CONCATENATE(Config!$B$245," ",VehicleCatalogus[[#This Row],[Veh. Type]]),Indexatie!$C:$C,0)),0)</f>
        <v>17500</v>
      </c>
    </row>
    <row r="10" spans="1:18" x14ac:dyDescent="0.15">
      <c r="A10">
        <v>8</v>
      </c>
      <c r="B10" t="str">
        <f>+B9</f>
        <v>Kleine bakwagen</v>
      </c>
      <c r="C10">
        <v>1</v>
      </c>
      <c r="D10" t="s">
        <v>179</v>
      </c>
      <c r="E10">
        <v>3</v>
      </c>
      <c r="F10" t="str">
        <f>+CONCATENATE(VehicleCatalogus[[#This Row],[Veh. Type]]," ",VehicleCatalogus[[#This Row],[Battery size]]," kWh")</f>
        <v>Kleine bakwagen 160 kWh</v>
      </c>
      <c r="G10" t="s">
        <v>180</v>
      </c>
      <c r="H10" s="88">
        <f>VLOOKUP(VehicleCatalogus[[#This Row],[Name]],Indexatie!$C:$D,2,FALSE)</f>
        <v>150895</v>
      </c>
      <c r="I10">
        <v>0.48154113423076755</v>
      </c>
      <c r="J10">
        <v>3.92</v>
      </c>
      <c r="K10" s="92">
        <v>2.6182250000000004E-2</v>
      </c>
      <c r="L10" s="92">
        <v>0</v>
      </c>
      <c r="M10" s="92">
        <v>0</v>
      </c>
      <c r="N10">
        <v>160</v>
      </c>
      <c r="Q10" s="88">
        <v>500</v>
      </c>
      <c r="R10" s="88">
        <f>IFERROR(INDEX(Indexatie!$E:$E,MATCH(CONCATENATE(Config!$B$245," ",VehicleCatalogus[[#This Row],[Veh. Type]]),Indexatie!$C:$C,0)),0)</f>
        <v>17500</v>
      </c>
    </row>
    <row r="11" spans="1:18" x14ac:dyDescent="0.15">
      <c r="A11">
        <v>9</v>
      </c>
      <c r="B11" t="str">
        <f>+B10</f>
        <v>Kleine bakwagen</v>
      </c>
      <c r="C11">
        <v>1</v>
      </c>
      <c r="D11" t="s">
        <v>179</v>
      </c>
      <c r="E11">
        <v>4</v>
      </c>
      <c r="F11" t="str">
        <f>+CONCATENATE(VehicleCatalogus[[#This Row],[Veh. Type]]," ",VehicleCatalogus[[#This Row],[Battery size]]," kWh")</f>
        <v>Kleine bakwagen 200 kWh</v>
      </c>
      <c r="G11" t="s">
        <v>180</v>
      </c>
      <c r="H11" s="88">
        <f>VLOOKUP(VehicleCatalogus[[#This Row],[Name]],Indexatie!$C:$D,2,FALSE)</f>
        <v>180000</v>
      </c>
      <c r="I11">
        <v>0.48154113423076755</v>
      </c>
      <c r="J11">
        <v>3.92</v>
      </c>
      <c r="K11" s="92">
        <v>2.6182250000000004E-2</v>
      </c>
      <c r="L11" s="92">
        <v>0</v>
      </c>
      <c r="M11" s="92">
        <v>0</v>
      </c>
      <c r="N11">
        <v>200</v>
      </c>
      <c r="Q11" s="88">
        <v>500</v>
      </c>
      <c r="R11" s="88">
        <f>IFERROR(INDEX(Indexatie!$E:$E,MATCH(CONCATENATE(Config!$B$245," ",VehicleCatalogus[[#This Row],[Veh. Type]]),Indexatie!$C:$C,0)),0)</f>
        <v>17500</v>
      </c>
    </row>
    <row r="12" spans="1:18" x14ac:dyDescent="0.15">
      <c r="A12">
        <v>10</v>
      </c>
      <c r="B12" t="str">
        <f>+B4</f>
        <v>Medium bakwagen</v>
      </c>
      <c r="C12">
        <v>2</v>
      </c>
      <c r="D12" t="s">
        <v>179</v>
      </c>
      <c r="E12">
        <v>1</v>
      </c>
      <c r="F12" t="str">
        <f>+CONCATENATE(VehicleCatalogus[[#This Row],[Veh. Type]]," ",VehicleCatalogus[[#This Row],[Battery size]]," kWh")</f>
        <v>Medium bakwagen 120 kWh</v>
      </c>
      <c r="G12" t="s">
        <v>180</v>
      </c>
      <c r="H12" s="88">
        <f>VLOOKUP(VehicleCatalogus[[#This Row],[Name]],Indexatie!$C:$D,2,FALSE)</f>
        <v>156302.5</v>
      </c>
      <c r="I12">
        <v>0.94758884430654944</v>
      </c>
      <c r="J12">
        <v>5.88</v>
      </c>
      <c r="K12" s="92">
        <v>2.8799575000000001E-2</v>
      </c>
      <c r="L12" s="92">
        <v>0</v>
      </c>
      <c r="M12" s="92">
        <v>0</v>
      </c>
      <c r="N12">
        <v>120</v>
      </c>
      <c r="Q12" s="88">
        <v>500</v>
      </c>
      <c r="R12" s="88">
        <f>IFERROR(INDEX(Indexatie!$E:$E,MATCH(CONCATENATE(Config!$B$245," ",VehicleCatalogus[[#This Row],[Veh. Type]]),Indexatie!$C:$C,0)),0)</f>
        <v>20000</v>
      </c>
    </row>
    <row r="13" spans="1:18" x14ac:dyDescent="0.15">
      <c r="A13">
        <v>11</v>
      </c>
      <c r="B13" t="str">
        <f>+B12</f>
        <v>Medium bakwagen</v>
      </c>
      <c r="C13">
        <v>2</v>
      </c>
      <c r="D13" t="s">
        <v>179</v>
      </c>
      <c r="E13">
        <v>2</v>
      </c>
      <c r="F13" t="str">
        <f>+CONCATENATE(VehicleCatalogus[[#This Row],[Veh. Type]]," ",VehicleCatalogus[[#This Row],[Battery size]]," kWh")</f>
        <v>Medium bakwagen 160 kWh</v>
      </c>
      <c r="G13" t="s">
        <v>180</v>
      </c>
      <c r="H13" s="88">
        <f>VLOOKUP(VehicleCatalogus[[#This Row],[Name]],Indexatie!$C:$D,2,FALSE)</f>
        <v>177932.5</v>
      </c>
      <c r="I13">
        <v>0.94758884430654944</v>
      </c>
      <c r="J13">
        <v>5.88</v>
      </c>
      <c r="K13" s="92">
        <v>2.8799575000000001E-2</v>
      </c>
      <c r="L13" s="92">
        <v>0</v>
      </c>
      <c r="M13" s="92">
        <v>0</v>
      </c>
      <c r="N13">
        <v>160</v>
      </c>
      <c r="Q13" s="88">
        <v>500</v>
      </c>
      <c r="R13" s="88">
        <f>IFERROR(INDEX(Indexatie!$E:$E,MATCH(CONCATENATE(Config!$B$245," ",VehicleCatalogus[[#This Row],[Veh. Type]]),Indexatie!$C:$C,0)),0)</f>
        <v>20000</v>
      </c>
    </row>
    <row r="14" spans="1:18" x14ac:dyDescent="0.15">
      <c r="A14">
        <v>12</v>
      </c>
      <c r="B14" t="str">
        <f>+B13</f>
        <v>Medium bakwagen</v>
      </c>
      <c r="C14">
        <v>2</v>
      </c>
      <c r="D14" t="s">
        <v>179</v>
      </c>
      <c r="E14">
        <v>3</v>
      </c>
      <c r="F14" t="str">
        <f>+CONCATENATE(VehicleCatalogus[[#This Row],[Veh. Type]]," ",VehicleCatalogus[[#This Row],[Battery size]]," kWh")</f>
        <v>Medium bakwagen 180 kWh</v>
      </c>
      <c r="G14" t="s">
        <v>180</v>
      </c>
      <c r="H14" s="88">
        <f>VLOOKUP(VehicleCatalogus[[#This Row],[Name]],Indexatie!$C:$D,2,FALSE)</f>
        <v>188747.5</v>
      </c>
      <c r="I14">
        <v>0.94758884430654944</v>
      </c>
      <c r="J14">
        <v>5.88</v>
      </c>
      <c r="K14" s="92">
        <v>2.8799575000000001E-2</v>
      </c>
      <c r="L14" s="92">
        <v>0</v>
      </c>
      <c r="M14" s="92">
        <v>0</v>
      </c>
      <c r="N14">
        <v>180</v>
      </c>
      <c r="Q14" s="88">
        <v>500</v>
      </c>
      <c r="R14" s="88">
        <f>IFERROR(INDEX(Indexatie!$E:$E,MATCH(CONCATENATE(Config!$B$245," ",VehicleCatalogus[[#This Row],[Veh. Type]]),Indexatie!$C:$C,0)),0)</f>
        <v>20000</v>
      </c>
    </row>
    <row r="15" spans="1:18" x14ac:dyDescent="0.15">
      <c r="A15">
        <v>13</v>
      </c>
      <c r="B15" t="str">
        <f>+B14</f>
        <v>Medium bakwagen</v>
      </c>
      <c r="C15">
        <v>2</v>
      </c>
      <c r="D15" t="s">
        <v>179</v>
      </c>
      <c r="E15">
        <v>4</v>
      </c>
      <c r="F15" t="str">
        <f>+CONCATENATE(VehicleCatalogus[[#This Row],[Veh. Type]]," ",VehicleCatalogus[[#This Row],[Battery size]]," kWh")</f>
        <v>Medium bakwagen 240 kWh</v>
      </c>
      <c r="G15" t="s">
        <v>180</v>
      </c>
      <c r="H15" s="88">
        <f>VLOOKUP(VehicleCatalogus[[#This Row],[Name]],Indexatie!$C:$D,2,FALSE)</f>
        <v>215000</v>
      </c>
      <c r="I15">
        <v>0.94758884430654944</v>
      </c>
      <c r="J15">
        <v>5.88</v>
      </c>
      <c r="K15" s="92">
        <v>2.8799575000000001E-2</v>
      </c>
      <c r="L15" s="92">
        <v>0</v>
      </c>
      <c r="M15" s="92">
        <v>0</v>
      </c>
      <c r="N15">
        <v>240</v>
      </c>
      <c r="Q15" s="88">
        <v>500</v>
      </c>
      <c r="R15" s="88">
        <f>IFERROR(INDEX(Indexatie!$E:$E,MATCH(CONCATENATE(Config!$B$245," ",VehicleCatalogus[[#This Row],[Veh. Type]]),Indexatie!$C:$C,0)),0)</f>
        <v>20000</v>
      </c>
    </row>
    <row r="16" spans="1:18" x14ac:dyDescent="0.15">
      <c r="A16">
        <v>14</v>
      </c>
      <c r="B16" t="str">
        <f>+B5</f>
        <v>Grote bakwagen</v>
      </c>
      <c r="C16">
        <v>3</v>
      </c>
      <c r="D16" t="s">
        <v>179</v>
      </c>
      <c r="E16">
        <v>1</v>
      </c>
      <c r="F16" t="str">
        <f>+CONCATENATE(VehicleCatalogus[[#This Row],[Veh. Type]]," ",VehicleCatalogus[[#This Row],[Battery size]]," kWh")</f>
        <v>Grote bakwagen 160 kWh</v>
      </c>
      <c r="G16" t="s">
        <v>180</v>
      </c>
      <c r="H16" s="88">
        <f>VLOOKUP(VehicleCatalogus[[#This Row],[Name]],Indexatie!$C:$D,2,FALSE)</f>
        <v>204970</v>
      </c>
      <c r="I16">
        <v>1.3431431136056065</v>
      </c>
      <c r="J16">
        <v>9.8000000000000007</v>
      </c>
      <c r="K16" s="92">
        <v>3.1416899999999998E-2</v>
      </c>
      <c r="L16" s="92">
        <v>0</v>
      </c>
      <c r="M16" s="92">
        <v>0</v>
      </c>
      <c r="N16">
        <v>160</v>
      </c>
      <c r="Q16" s="88">
        <v>1000</v>
      </c>
      <c r="R16" s="88">
        <f>IFERROR(INDEX(Indexatie!$E:$E,MATCH(CONCATENATE(Config!$B$245," ",VehicleCatalogus[[#This Row],[Veh. Type]]),Indexatie!$C:$C,0)),0)</f>
        <v>22500</v>
      </c>
    </row>
    <row r="17" spans="1:21" x14ac:dyDescent="0.15">
      <c r="A17">
        <v>15</v>
      </c>
      <c r="B17" t="str">
        <f>+B16</f>
        <v>Grote bakwagen</v>
      </c>
      <c r="C17">
        <v>3</v>
      </c>
      <c r="D17" t="s">
        <v>179</v>
      </c>
      <c r="E17">
        <v>2</v>
      </c>
      <c r="F17" t="str">
        <f>+CONCATENATE(VehicleCatalogus[[#This Row],[Veh. Type]]," ",VehicleCatalogus[[#This Row],[Battery size]]," kWh")</f>
        <v>Grote bakwagen 180 kWh</v>
      </c>
      <c r="G17" t="s">
        <v>180</v>
      </c>
      <c r="H17" s="88">
        <f>VLOOKUP(VehicleCatalogus[[#This Row],[Name]],Indexatie!$C:$D,2,FALSE)</f>
        <v>215785</v>
      </c>
      <c r="I17">
        <v>1.3431431136056065</v>
      </c>
      <c r="J17">
        <v>9.8000000000000007</v>
      </c>
      <c r="K17" s="92">
        <v>3.1416899999999998E-2</v>
      </c>
      <c r="L17" s="92">
        <v>0</v>
      </c>
      <c r="M17" s="92">
        <v>0</v>
      </c>
      <c r="N17">
        <v>180</v>
      </c>
      <c r="Q17" s="88">
        <v>1000</v>
      </c>
      <c r="R17" s="88">
        <f>IFERROR(INDEX(Indexatie!$E:$E,MATCH(CONCATENATE(Config!$B$245," ",VehicleCatalogus[[#This Row],[Veh. Type]]),Indexatie!$C:$C,0)),0)</f>
        <v>22500</v>
      </c>
    </row>
    <row r="18" spans="1:21" x14ac:dyDescent="0.15">
      <c r="A18">
        <v>16</v>
      </c>
      <c r="B18" t="str">
        <f>+B17</f>
        <v>Grote bakwagen</v>
      </c>
      <c r="C18">
        <v>3</v>
      </c>
      <c r="D18" t="s">
        <v>179</v>
      </c>
      <c r="E18">
        <v>3</v>
      </c>
      <c r="F18" t="str">
        <f>+CONCATENATE(VehicleCatalogus[[#This Row],[Veh. Type]]," ",VehicleCatalogus[[#This Row],[Battery size]]," kWh")</f>
        <v>Grote bakwagen 200 kWh</v>
      </c>
      <c r="G18" t="s">
        <v>180</v>
      </c>
      <c r="H18" s="88">
        <f>VLOOKUP(VehicleCatalogus[[#This Row],[Name]],Indexatie!$C:$D,2,FALSE)</f>
        <v>226600</v>
      </c>
      <c r="I18">
        <v>1.3431431136056065</v>
      </c>
      <c r="J18">
        <v>9.8000000000000007</v>
      </c>
      <c r="K18" s="92">
        <v>3.1416899999999998E-2</v>
      </c>
      <c r="L18" s="92">
        <v>0</v>
      </c>
      <c r="M18" s="92">
        <v>0</v>
      </c>
      <c r="N18">
        <v>200</v>
      </c>
      <c r="Q18" s="88">
        <v>1000</v>
      </c>
      <c r="R18" s="88">
        <f>IFERROR(INDEX(Indexatie!$E:$E,MATCH(CONCATENATE(Config!$B$245," ",VehicleCatalogus[[#This Row],[Veh. Type]]),Indexatie!$C:$C,0)),0)</f>
        <v>22500</v>
      </c>
    </row>
    <row r="19" spans="1:21" x14ac:dyDescent="0.15">
      <c r="A19">
        <v>17</v>
      </c>
      <c r="B19" t="str">
        <f>+B18</f>
        <v>Grote bakwagen</v>
      </c>
      <c r="C19">
        <v>3</v>
      </c>
      <c r="D19" t="s">
        <v>179</v>
      </c>
      <c r="E19">
        <v>4</v>
      </c>
      <c r="F19" t="str">
        <f>+CONCATENATE(VehicleCatalogus[[#This Row],[Veh. Type]]," ",VehicleCatalogus[[#This Row],[Battery size]]," kWh")</f>
        <v>Grote bakwagen 260 kWh</v>
      </c>
      <c r="G19" t="s">
        <v>180</v>
      </c>
      <c r="H19" s="88">
        <f>VLOOKUP(VehicleCatalogus[[#This Row],[Name]],Indexatie!$C:$D,2,FALSE)</f>
        <v>250000</v>
      </c>
      <c r="I19">
        <v>1.3431431136056065</v>
      </c>
      <c r="J19">
        <v>9.8000000000000007</v>
      </c>
      <c r="K19" s="92">
        <v>3.1416899999999998E-2</v>
      </c>
      <c r="L19" s="92">
        <v>0</v>
      </c>
      <c r="M19" s="92">
        <v>0</v>
      </c>
      <c r="N19">
        <v>260</v>
      </c>
      <c r="Q19" s="88">
        <v>1000</v>
      </c>
      <c r="R19" s="88">
        <f>IFERROR(INDEX(Indexatie!$E:$E,MATCH(CONCATENATE(Config!$B$245," ",VehicleCatalogus[[#This Row],[Veh. Type]]),Indexatie!$C:$C,0)),0)</f>
        <v>22500</v>
      </c>
    </row>
    <row r="20" spans="1:21" x14ac:dyDescent="0.15">
      <c r="A20">
        <v>18</v>
      </c>
      <c r="B20" t="str">
        <f>+B6</f>
        <v>Lichte trekker z/opl</v>
      </c>
      <c r="C20">
        <v>4</v>
      </c>
      <c r="D20" t="s">
        <v>179</v>
      </c>
      <c r="E20">
        <v>1</v>
      </c>
      <c r="F20" t="str">
        <f>+CONCATENATE(VehicleCatalogus[[#This Row],[Veh. Type]]," ",VehicleCatalogus[[#This Row],[Battery size]]," kWh")</f>
        <v>Lichte trekker z/opl 180 kWh</v>
      </c>
      <c r="G20" t="s">
        <v>180</v>
      </c>
      <c r="H20" s="88">
        <f>VLOOKUP(VehicleCatalogus[[#This Row],[Name]],Indexatie!$C:$D,2,FALSE)</f>
        <v>195442.5</v>
      </c>
      <c r="I20">
        <v>1.3913649711853182</v>
      </c>
      <c r="J20">
        <v>0</v>
      </c>
      <c r="K20" s="92">
        <v>3.6647849999999996E-2</v>
      </c>
      <c r="L20" s="92">
        <v>0</v>
      </c>
      <c r="M20" s="92">
        <v>0</v>
      </c>
      <c r="N20">
        <v>180</v>
      </c>
      <c r="Q20" s="88">
        <v>1500</v>
      </c>
      <c r="R20" s="88">
        <f>IFERROR(INDEX(Indexatie!$E:$E,MATCH(CONCATENATE(Config!$B$245," ",VehicleCatalogus[[#This Row],[Veh. Type]]),Indexatie!$C:$C,0)),0)</f>
        <v>0</v>
      </c>
    </row>
    <row r="21" spans="1:21" x14ac:dyDescent="0.15">
      <c r="A21">
        <v>19</v>
      </c>
      <c r="B21" t="str">
        <f>+B20</f>
        <v>Lichte trekker z/opl</v>
      </c>
      <c r="C21">
        <v>4</v>
      </c>
      <c r="D21" t="s">
        <v>179</v>
      </c>
      <c r="E21">
        <v>2</v>
      </c>
      <c r="F21" t="str">
        <f>+CONCATENATE(VehicleCatalogus[[#This Row],[Veh. Type]]," ",VehicleCatalogus[[#This Row],[Battery size]]," kWh")</f>
        <v>Lichte trekker z/opl 220 kWh</v>
      </c>
      <c r="G21" t="s">
        <v>180</v>
      </c>
      <c r="H21" s="88">
        <f>VLOOKUP(VehicleCatalogus[[#This Row],[Name]],Indexatie!$C:$D,2,FALSE)</f>
        <v>217072.5</v>
      </c>
      <c r="I21">
        <v>1.3913649711853182</v>
      </c>
      <c r="J21">
        <v>0</v>
      </c>
      <c r="K21" s="92">
        <v>3.6647849999999996E-2</v>
      </c>
      <c r="L21" s="92">
        <v>0</v>
      </c>
      <c r="M21" s="92">
        <v>0</v>
      </c>
      <c r="N21">
        <v>220</v>
      </c>
      <c r="Q21" s="88">
        <v>1500</v>
      </c>
      <c r="R21" s="88">
        <f>IFERROR(INDEX(Indexatie!$E:$E,MATCH(CONCATENATE(Config!$B$245," ",VehicleCatalogus[[#This Row],[Veh. Type]]),Indexatie!$C:$C,0)),0)</f>
        <v>0</v>
      </c>
    </row>
    <row r="22" spans="1:21" x14ac:dyDescent="0.15">
      <c r="A22">
        <v>20</v>
      </c>
      <c r="B22" t="str">
        <f>+B21</f>
        <v>Lichte trekker z/opl</v>
      </c>
      <c r="C22">
        <v>4</v>
      </c>
      <c r="D22" t="s">
        <v>179</v>
      </c>
      <c r="E22">
        <v>3</v>
      </c>
      <c r="F22" t="str">
        <f>+CONCATENATE(VehicleCatalogus[[#This Row],[Veh. Type]]," ",VehicleCatalogus[[#This Row],[Battery size]]," kWh")</f>
        <v>Lichte trekker z/opl 260 kWh</v>
      </c>
      <c r="G22" t="s">
        <v>180</v>
      </c>
      <c r="H22" s="88">
        <f>VLOOKUP(VehicleCatalogus[[#This Row],[Name]],Indexatie!$C:$D,2,FALSE)</f>
        <v>238702.5</v>
      </c>
      <c r="I22">
        <v>1.3913649711853182</v>
      </c>
      <c r="J22">
        <v>0</v>
      </c>
      <c r="K22" s="92">
        <v>3.6647849999999996E-2</v>
      </c>
      <c r="L22" s="92">
        <v>0</v>
      </c>
      <c r="M22" s="92">
        <v>0</v>
      </c>
      <c r="N22">
        <v>260</v>
      </c>
      <c r="Q22" s="88">
        <v>1500</v>
      </c>
      <c r="R22" s="88">
        <f>IFERROR(INDEX(Indexatie!$E:$E,MATCH(CONCATENATE(Config!$B$245," ",VehicleCatalogus[[#This Row],[Veh. Type]]),Indexatie!$C:$C,0)),0)</f>
        <v>0</v>
      </c>
    </row>
    <row r="23" spans="1:21" x14ac:dyDescent="0.15">
      <c r="A23">
        <v>21</v>
      </c>
      <c r="B23" t="str">
        <f>+B22</f>
        <v>Lichte trekker z/opl</v>
      </c>
      <c r="C23">
        <v>4</v>
      </c>
      <c r="D23" t="s">
        <v>179</v>
      </c>
      <c r="E23">
        <v>4</v>
      </c>
      <c r="F23" t="str">
        <f>+CONCATENATE(VehicleCatalogus[[#This Row],[Veh. Type]]," ",VehicleCatalogus[[#This Row],[Battery size]]," kWh")</f>
        <v>Lichte trekker z/opl 340 kWh</v>
      </c>
      <c r="G23" t="s">
        <v>180</v>
      </c>
      <c r="H23" s="88">
        <f>VLOOKUP(VehicleCatalogus[[#This Row],[Name]],Indexatie!$C:$D,2,FALSE)</f>
        <v>240000</v>
      </c>
      <c r="I23">
        <v>1.3913649711853182</v>
      </c>
      <c r="J23">
        <v>0</v>
      </c>
      <c r="K23" s="92">
        <v>3.6647849999999996E-2</v>
      </c>
      <c r="L23" s="92">
        <v>0</v>
      </c>
      <c r="M23" s="92">
        <v>0</v>
      </c>
      <c r="N23">
        <v>340</v>
      </c>
      <c r="Q23" s="88">
        <v>1500</v>
      </c>
      <c r="R23" s="88">
        <f>IFERROR(INDEX(Indexatie!$E:$E,MATCH(CONCATENATE(Config!$B$245," ",VehicleCatalogus[[#This Row],[Veh. Type]]),Indexatie!$C:$C,0)),0)</f>
        <v>0</v>
      </c>
    </row>
    <row r="24" spans="1:21" x14ac:dyDescent="0.15">
      <c r="A24">
        <v>22</v>
      </c>
      <c r="B24" t="str">
        <f>+B7</f>
        <v>Zware trekker z/opl</v>
      </c>
      <c r="C24">
        <v>5</v>
      </c>
      <c r="D24" t="s">
        <v>179</v>
      </c>
      <c r="E24">
        <v>1</v>
      </c>
      <c r="F24" t="str">
        <f>+CONCATENATE(VehicleCatalogus[[#This Row],[Veh. Type]]," ",VehicleCatalogus[[#This Row],[Battery size]]," kWh")</f>
        <v>Zware trekker z/opl 300 kWh</v>
      </c>
      <c r="G24" t="s">
        <v>180</v>
      </c>
      <c r="H24" s="88">
        <f>VLOOKUP(VehicleCatalogus[[#This Row],[Name]],Indexatie!$C:$D,2,FALSE)</f>
        <v>275525</v>
      </c>
      <c r="I24">
        <v>2.0858484498834211</v>
      </c>
      <c r="J24">
        <v>0</v>
      </c>
      <c r="K24" s="92">
        <v>4.1878800000000001E-2</v>
      </c>
      <c r="L24" s="92">
        <v>0</v>
      </c>
      <c r="M24" s="92">
        <v>0</v>
      </c>
      <c r="N24">
        <v>300</v>
      </c>
      <c r="Q24" s="88">
        <v>1500</v>
      </c>
      <c r="R24" s="88">
        <f>IFERROR(INDEX(Indexatie!$E:$E,MATCH(CONCATENATE(Config!$B$245," ",VehicleCatalogus[[#This Row],[Veh. Type]]),Indexatie!$C:$C,0)),0)</f>
        <v>0</v>
      </c>
    </row>
    <row r="25" spans="1:21" x14ac:dyDescent="0.15">
      <c r="A25">
        <v>23</v>
      </c>
      <c r="B25" t="str">
        <f>+B24</f>
        <v>Zware trekker z/opl</v>
      </c>
      <c r="C25">
        <v>5</v>
      </c>
      <c r="D25" t="s">
        <v>179</v>
      </c>
      <c r="E25">
        <v>2</v>
      </c>
      <c r="F25" t="str">
        <f>+CONCATENATE(VehicleCatalogus[[#This Row],[Veh. Type]]," ",VehicleCatalogus[[#This Row],[Battery size]]," kWh")</f>
        <v>Zware trekker z/opl 400 kWh</v>
      </c>
      <c r="G25" t="s">
        <v>180</v>
      </c>
      <c r="H25" s="88">
        <f>VLOOKUP(VehicleCatalogus[[#This Row],[Name]],Indexatie!$C:$D,2,FALSE)</f>
        <v>329600</v>
      </c>
      <c r="I25">
        <v>2.0858484498834211</v>
      </c>
      <c r="J25">
        <v>0</v>
      </c>
      <c r="K25" s="92">
        <v>4.1878800000000001E-2</v>
      </c>
      <c r="L25" s="92">
        <v>0</v>
      </c>
      <c r="M25" s="92">
        <v>0</v>
      </c>
      <c r="N25">
        <v>400</v>
      </c>
      <c r="Q25" s="88">
        <v>1500</v>
      </c>
      <c r="R25" s="88">
        <f>IFERROR(INDEX(Indexatie!$E:$E,MATCH(CONCATENATE(Config!$B$245," ",VehicleCatalogus[[#This Row],[Veh. Type]]),Indexatie!$C:$C,0)),0)</f>
        <v>0</v>
      </c>
    </row>
    <row r="26" spans="1:21" x14ac:dyDescent="0.15">
      <c r="A26">
        <v>24</v>
      </c>
      <c r="B26" t="str">
        <f>+B25</f>
        <v>Zware trekker z/opl</v>
      </c>
      <c r="C26">
        <v>5</v>
      </c>
      <c r="D26" t="s">
        <v>179</v>
      </c>
      <c r="E26">
        <v>3</v>
      </c>
      <c r="F26" t="str">
        <f>+CONCATENATE(VehicleCatalogus[[#This Row],[Veh. Type]]," ",VehicleCatalogus[[#This Row],[Battery size]]," kWh")</f>
        <v>Zware trekker z/opl 440 kWh</v>
      </c>
      <c r="G26" t="s">
        <v>180</v>
      </c>
      <c r="H26" s="88">
        <f>VLOOKUP(VehicleCatalogus[[#This Row],[Name]],Indexatie!$C:$D,2,FALSE)</f>
        <v>351230</v>
      </c>
      <c r="I26">
        <v>2.0858484498834211</v>
      </c>
      <c r="J26">
        <v>0</v>
      </c>
      <c r="K26" s="92">
        <v>4.1878800000000001E-2</v>
      </c>
      <c r="L26" s="92">
        <v>0</v>
      </c>
      <c r="M26" s="92">
        <v>0</v>
      </c>
      <c r="N26">
        <v>440</v>
      </c>
      <c r="Q26" s="88">
        <v>1500</v>
      </c>
      <c r="R26" s="88">
        <f>IFERROR(INDEX(Indexatie!$E:$E,MATCH(CONCATENATE(Config!$B$245," ",VehicleCatalogus[[#This Row],[Veh. Type]]),Indexatie!$C:$C,0)),0)</f>
        <v>0</v>
      </c>
    </row>
    <row r="27" spans="1:21" x14ac:dyDescent="0.15">
      <c r="A27">
        <v>25</v>
      </c>
      <c r="B27" t="str">
        <f>+B26</f>
        <v>Zware trekker z/opl</v>
      </c>
      <c r="C27">
        <v>5</v>
      </c>
      <c r="D27" t="s">
        <v>179</v>
      </c>
      <c r="E27">
        <v>4</v>
      </c>
      <c r="F27" t="str">
        <f>+CONCATENATE(VehicleCatalogus[[#This Row],[Veh. Type]]," ",VehicleCatalogus[[#This Row],[Battery size]]," kWh")</f>
        <v>Zware trekker z/opl 490 kWh</v>
      </c>
      <c r="G27" t="s">
        <v>180</v>
      </c>
      <c r="H27" s="88">
        <f>VLOOKUP(VehicleCatalogus[[#This Row],[Name]],Indexatie!$C:$D,2,FALSE)</f>
        <v>380000</v>
      </c>
      <c r="I27">
        <v>2.0858484498834211</v>
      </c>
      <c r="J27">
        <v>0</v>
      </c>
      <c r="K27" s="92">
        <v>4.1878800000000001E-2</v>
      </c>
      <c r="L27" s="92">
        <v>0</v>
      </c>
      <c r="M27" s="92">
        <v>0</v>
      </c>
      <c r="N27">
        <v>490</v>
      </c>
      <c r="Q27" s="88">
        <v>1500</v>
      </c>
      <c r="R27" s="88">
        <f>IFERROR(INDEX(Indexatie!$E:$E,MATCH(CONCATENATE(Config!$B$245," ",VehicleCatalogus[[#This Row],[Veh. Type]]),Indexatie!$C:$C,0)),0)</f>
        <v>0</v>
      </c>
    </row>
    <row r="28" spans="1:21" x14ac:dyDescent="0.15">
      <c r="A28">
        <v>26</v>
      </c>
      <c r="B28" t="str">
        <f>+B9</f>
        <v>Kleine bakwagen</v>
      </c>
      <c r="C28">
        <v>1</v>
      </c>
      <c r="D28" t="s">
        <v>182</v>
      </c>
      <c r="E28">
        <v>1</v>
      </c>
      <c r="F28" t="str">
        <f>+CONCATENATE(VehicleCatalogus[[#This Row],[Veh. Type]]," ",VehicleCatalogus[[#This Row],[FC power]]," kW")</f>
        <v>Kleine bakwagen 30 kW</v>
      </c>
      <c r="G28" t="s">
        <v>183</v>
      </c>
      <c r="H28" s="88">
        <f>VLOOKUP(VehicleCatalogus[[#This Row],[Name]],Indexatie!$C:$D,2,FALSE)</f>
        <v>238794.42750000002</v>
      </c>
      <c r="I28">
        <v>3.1847958613146002E-2</v>
      </c>
      <c r="J28">
        <v>0.25925925925925924</v>
      </c>
      <c r="K28" s="92">
        <v>7.8546750000000012E-2</v>
      </c>
      <c r="L28" s="92">
        <v>0</v>
      </c>
      <c r="M28" s="92">
        <v>0</v>
      </c>
      <c r="N28">
        <v>70</v>
      </c>
      <c r="O28">
        <v>30</v>
      </c>
      <c r="P28">
        <v>15</v>
      </c>
      <c r="Q28" s="88">
        <v>1500</v>
      </c>
      <c r="R28" s="88">
        <f>IFERROR(INDEX(Indexatie!$E:$E,MATCH(CONCATENATE(Config!$B$245," ",VehicleCatalogus[[#This Row],[Veh. Type]]),Indexatie!$C:$C,0)),0)</f>
        <v>17500</v>
      </c>
    </row>
    <row r="29" spans="1:21" x14ac:dyDescent="0.15">
      <c r="A29">
        <v>27</v>
      </c>
      <c r="B29" t="str">
        <f>+B13</f>
        <v>Medium bakwagen</v>
      </c>
      <c r="C29">
        <v>2</v>
      </c>
      <c r="D29" t="s">
        <v>182</v>
      </c>
      <c r="E29">
        <v>1</v>
      </c>
      <c r="F29" t="str">
        <f>+CONCATENATE(VehicleCatalogus[[#This Row],[Veh. Type]]," ",VehicleCatalogus[[#This Row],[FC power]]," kW")</f>
        <v>Medium bakwagen 40 kW</v>
      </c>
      <c r="G29" t="s">
        <v>183</v>
      </c>
      <c r="H29" s="88">
        <f>VLOOKUP(VehicleCatalogus[[#This Row],[Name]],Indexatie!$C:$D,2,FALSE)</f>
        <v>360206.70750000002</v>
      </c>
      <c r="I29">
        <v>6.2671219861544267E-2</v>
      </c>
      <c r="J29">
        <v>0.38888888888888884</v>
      </c>
      <c r="K29" s="92">
        <v>8.639872500000001E-2</v>
      </c>
      <c r="L29" s="92">
        <v>0</v>
      </c>
      <c r="M29" s="92">
        <v>0</v>
      </c>
      <c r="N29">
        <v>150</v>
      </c>
      <c r="O29">
        <v>40</v>
      </c>
      <c r="P29">
        <v>15</v>
      </c>
      <c r="Q29" s="88">
        <v>1500</v>
      </c>
      <c r="R29" s="88">
        <f>IFERROR(INDEX(Indexatie!$E:$E,MATCH(CONCATENATE(Config!$B$245," ",VehicleCatalogus[[#This Row],[Veh. Type]]),Indexatie!$C:$C,0)),0)</f>
        <v>20000</v>
      </c>
      <c r="S29" t="s">
        <v>229</v>
      </c>
    </row>
    <row r="30" spans="1:21" x14ac:dyDescent="0.15">
      <c r="A30">
        <v>28</v>
      </c>
      <c r="B30" t="str">
        <f>+B17</f>
        <v>Grote bakwagen</v>
      </c>
      <c r="C30">
        <v>3</v>
      </c>
      <c r="D30" t="s">
        <v>182</v>
      </c>
      <c r="E30">
        <v>1</v>
      </c>
      <c r="F30" t="str">
        <f>+CONCATENATE(VehicleCatalogus[[#This Row],[Veh. Type]]," ",VehicleCatalogus[[#This Row],[FC power]]," kW")</f>
        <v>Grote bakwagen 45 kW</v>
      </c>
      <c r="G30" t="s">
        <v>183</v>
      </c>
      <c r="H30" s="88">
        <f>VLOOKUP(VehicleCatalogus[[#This Row],[Name]],Indexatie!$C:$D,2,FALSE)</f>
        <v>411109.82250000001</v>
      </c>
      <c r="I30">
        <v>8.8832216508307291E-2</v>
      </c>
      <c r="J30">
        <v>0.64814814814814814</v>
      </c>
      <c r="K30" s="92">
        <v>9.4250699999999993E-2</v>
      </c>
      <c r="L30" s="92">
        <v>0</v>
      </c>
      <c r="M30" s="92">
        <v>0</v>
      </c>
      <c r="N30">
        <v>140</v>
      </c>
      <c r="O30">
        <v>45</v>
      </c>
      <c r="P30">
        <v>20</v>
      </c>
      <c r="Q30" s="88">
        <v>3000</v>
      </c>
      <c r="R30" s="88">
        <f>IFERROR(INDEX(Indexatie!$E:$E,MATCH(CONCATENATE(Config!$B$245," ",VehicleCatalogus[[#This Row],[Veh. Type]]),Indexatie!$C:$C,0)),0)</f>
        <v>22500</v>
      </c>
      <c r="S30" t="s">
        <v>160</v>
      </c>
      <c r="T30" t="s">
        <v>232</v>
      </c>
      <c r="U30" t="s">
        <v>234</v>
      </c>
    </row>
    <row r="31" spans="1:21" x14ac:dyDescent="0.15">
      <c r="A31">
        <v>29</v>
      </c>
      <c r="B31" t="str">
        <f>B21</f>
        <v>Lichte trekker z/opl</v>
      </c>
      <c r="C31">
        <v>4</v>
      </c>
      <c r="D31" t="s">
        <v>182</v>
      </c>
      <c r="E31">
        <v>1</v>
      </c>
      <c r="F31" t="str">
        <f>+CONCATENATE(VehicleCatalogus[[#This Row],[Veh. Type]]," ",VehicleCatalogus[[#This Row],[FC power]]," kW")</f>
        <v>Lichte trekker z/opl 60 kW</v>
      </c>
      <c r="G31" t="s">
        <v>183</v>
      </c>
      <c r="H31" s="88">
        <f>VLOOKUP(VehicleCatalogus[[#This Row],[Name]],Indexatie!$C:$D,2,FALSE)</f>
        <v>484487.28</v>
      </c>
      <c r="I31">
        <v>9.2021492803261787E-2</v>
      </c>
      <c r="J31">
        <v>0</v>
      </c>
      <c r="K31" s="92">
        <v>0.10994354999999999</v>
      </c>
      <c r="L31" s="92">
        <v>0</v>
      </c>
      <c r="M31" s="92">
        <v>0</v>
      </c>
      <c r="N31">
        <v>140</v>
      </c>
      <c r="O31">
        <v>60</v>
      </c>
      <c r="P31">
        <v>30</v>
      </c>
      <c r="Q31" s="88">
        <v>5000</v>
      </c>
      <c r="R31" s="88">
        <f>IFERROR(INDEX(Indexatie!$E:$E,MATCH(CONCATENATE(Config!$B$245," ",VehicleCatalogus[[#This Row],[Veh. Type]]),Indexatie!$C:$C,0)),0)</f>
        <v>0</v>
      </c>
      <c r="S31" t="s">
        <v>230</v>
      </c>
      <c r="T31" t="s">
        <v>180</v>
      </c>
      <c r="U31">
        <v>400</v>
      </c>
    </row>
    <row r="32" spans="1:21" x14ac:dyDescent="0.15">
      <c r="A32">
        <v>30</v>
      </c>
      <c r="B32" t="str">
        <f>+B26</f>
        <v>Zware trekker z/opl</v>
      </c>
      <c r="C32">
        <v>5</v>
      </c>
      <c r="D32" t="s">
        <v>182</v>
      </c>
      <c r="E32">
        <v>1</v>
      </c>
      <c r="F32" t="str">
        <f>+CONCATENATE(VehicleCatalogus[[#This Row],[Veh. Type]]," ",VehicleCatalogus[[#This Row],[FC power]]," kW")</f>
        <v>Zware trekker z/opl 80 kW</v>
      </c>
      <c r="G32" t="s">
        <v>183</v>
      </c>
      <c r="H32" s="88">
        <f>VLOOKUP(VehicleCatalogus[[#This Row],[Name]],Indexatie!$C:$D,2,FALSE)</f>
        <v>597740.41500000004</v>
      </c>
      <c r="I32">
        <v>0.13795293980710455</v>
      </c>
      <c r="J32">
        <v>0</v>
      </c>
      <c r="K32" s="92">
        <v>0.12563640000000001</v>
      </c>
      <c r="L32" s="92">
        <v>0</v>
      </c>
      <c r="M32" s="92">
        <v>0</v>
      </c>
      <c r="N32">
        <v>200</v>
      </c>
      <c r="O32">
        <v>80</v>
      </c>
      <c r="P32">
        <v>50</v>
      </c>
      <c r="Q32" s="88">
        <v>5000</v>
      </c>
      <c r="R32" s="88">
        <f>IFERROR(INDEX(Indexatie!$E:$E,MATCH(CONCATENATE(Config!$B$245," ",VehicleCatalogus[[#This Row],[Veh. Type]]),Indexatie!$C:$C,0)),0)</f>
        <v>0</v>
      </c>
      <c r="S32" t="s">
        <v>231</v>
      </c>
      <c r="T32" t="s">
        <v>233</v>
      </c>
      <c r="U32">
        <v>908</v>
      </c>
    </row>
    <row r="35" spans="1:12" x14ac:dyDescent="0.15">
      <c r="A35" s="90" t="s">
        <v>280</v>
      </c>
    </row>
    <row r="36" spans="1:12" x14ac:dyDescent="0.15">
      <c r="A36" t="s">
        <v>236</v>
      </c>
      <c r="B36" t="s">
        <v>237</v>
      </c>
      <c r="C36" t="s">
        <v>238</v>
      </c>
      <c r="D36" t="s">
        <v>239</v>
      </c>
      <c r="E36" t="s">
        <v>240</v>
      </c>
      <c r="F36" t="s">
        <v>241</v>
      </c>
      <c r="G36" t="s">
        <v>242</v>
      </c>
      <c r="H36" t="s">
        <v>243</v>
      </c>
      <c r="I36" t="s">
        <v>244</v>
      </c>
      <c r="J36" t="s">
        <v>245</v>
      </c>
      <c r="K36" t="s">
        <v>246</v>
      </c>
      <c r="L36" t="s">
        <v>247</v>
      </c>
    </row>
    <row r="37" spans="1:12" x14ac:dyDescent="0.15">
      <c r="A37">
        <v>5</v>
      </c>
      <c r="B37" t="s">
        <v>261</v>
      </c>
      <c r="C37" t="s">
        <v>262</v>
      </c>
      <c r="D37" t="s">
        <v>251</v>
      </c>
      <c r="E37">
        <v>350</v>
      </c>
      <c r="F37">
        <v>0.7</v>
      </c>
      <c r="G37">
        <v>0.88700000000000001</v>
      </c>
      <c r="H37" s="92">
        <f>Laadinfra[[#This Row],[Purchase (€)]]+Laadinfra[[#This Row],[Installation costs (€)]]</f>
        <v>191391</v>
      </c>
      <c r="I37" s="92">
        <v>128625</v>
      </c>
      <c r="J37" s="92">
        <v>62766</v>
      </c>
      <c r="K37" s="112">
        <v>17105.75</v>
      </c>
      <c r="L37" s="111">
        <v>0.12349</v>
      </c>
    </row>
    <row r="38" spans="1:12" x14ac:dyDescent="0.15">
      <c r="A38">
        <v>4</v>
      </c>
      <c r="B38" t="s">
        <v>259</v>
      </c>
      <c r="C38" t="s">
        <v>260</v>
      </c>
      <c r="D38" t="s">
        <v>251</v>
      </c>
      <c r="E38">
        <v>150</v>
      </c>
      <c r="F38">
        <v>0.7</v>
      </c>
      <c r="G38">
        <v>0.88700000000000001</v>
      </c>
      <c r="H38" s="92">
        <f>Laadinfra[[#This Row],[Purchase (€)]]+Laadinfra[[#This Row],[Installation costs (€)]]</f>
        <v>85221</v>
      </c>
      <c r="I38" s="92">
        <v>55125</v>
      </c>
      <c r="J38" s="92">
        <v>30096</v>
      </c>
      <c r="K38" s="112">
        <v>7809.75</v>
      </c>
      <c r="L38" s="111">
        <v>0.12349</v>
      </c>
    </row>
    <row r="39" spans="1:12" x14ac:dyDescent="0.15">
      <c r="A39">
        <v>3</v>
      </c>
      <c r="B39" t="s">
        <v>257</v>
      </c>
      <c r="C39" t="s">
        <v>258</v>
      </c>
      <c r="D39" t="s">
        <v>251</v>
      </c>
      <c r="E39">
        <v>50</v>
      </c>
      <c r="F39">
        <v>0.7</v>
      </c>
      <c r="G39">
        <v>0.88700000000000001</v>
      </c>
      <c r="H39" s="92">
        <f>Laadinfra[[#This Row],[Purchase (€)]]+Laadinfra[[#This Row],[Installation costs (€)]]</f>
        <v>29215.5</v>
      </c>
      <c r="I39" s="92">
        <v>18375</v>
      </c>
      <c r="J39" s="92">
        <v>10840.5</v>
      </c>
      <c r="K39" s="112">
        <v>3949.25</v>
      </c>
      <c r="L39" s="111">
        <v>0.12349</v>
      </c>
    </row>
    <row r="40" spans="1:12" x14ac:dyDescent="0.15">
      <c r="A40">
        <v>2</v>
      </c>
      <c r="B40" t="s">
        <v>581</v>
      </c>
      <c r="C40" t="s">
        <v>582</v>
      </c>
      <c r="D40" t="s">
        <v>251</v>
      </c>
      <c r="E40">
        <v>22</v>
      </c>
      <c r="F40">
        <v>0.8</v>
      </c>
      <c r="G40">
        <v>0.90200000000000002</v>
      </c>
      <c r="H40" s="92">
        <f>Laadinfra[[#This Row],[Purchase (€)]]+Laadinfra[[#This Row],[Installation costs (€)]]</f>
        <v>3258</v>
      </c>
      <c r="I40" s="92">
        <v>2205</v>
      </c>
      <c r="J40" s="92">
        <v>1053</v>
      </c>
      <c r="K40" s="112">
        <v>1403.88</v>
      </c>
      <c r="L40" s="111">
        <v>0.12349</v>
      </c>
    </row>
    <row r="41" spans="1:12" x14ac:dyDescent="0.15">
      <c r="A41">
        <v>1</v>
      </c>
      <c r="B41" t="s">
        <v>249</v>
      </c>
      <c r="C41" t="s">
        <v>250</v>
      </c>
      <c r="D41" t="s">
        <v>251</v>
      </c>
      <c r="E41">
        <v>3.7</v>
      </c>
      <c r="F41">
        <v>0.8</v>
      </c>
      <c r="G41">
        <v>0.85799999999999998</v>
      </c>
      <c r="H41" s="92">
        <f>Laadinfra[[#This Row],[Purchase (€)]]+Laadinfra[[#This Row],[Installation costs (€)]]</f>
        <v>1604.4</v>
      </c>
      <c r="I41" s="92">
        <v>735</v>
      </c>
      <c r="J41" s="92">
        <v>869.40000000000009</v>
      </c>
      <c r="K41" s="112">
        <v>115.46000000000001</v>
      </c>
      <c r="L41" s="111">
        <v>0.12349</v>
      </c>
    </row>
    <row r="43" spans="1:12" x14ac:dyDescent="0.15">
      <c r="A43" s="90" t="s">
        <v>281</v>
      </c>
    </row>
    <row r="44" spans="1:12" x14ac:dyDescent="0.15">
      <c r="A44" t="s">
        <v>236</v>
      </c>
      <c r="B44" t="s">
        <v>237</v>
      </c>
      <c r="C44" t="s">
        <v>238</v>
      </c>
      <c r="D44" t="s">
        <v>239</v>
      </c>
      <c r="E44" t="s">
        <v>240</v>
      </c>
      <c r="F44" t="s">
        <v>241</v>
      </c>
      <c r="G44" t="s">
        <v>242</v>
      </c>
      <c r="H44" t="s">
        <v>243</v>
      </c>
      <c r="I44" t="s">
        <v>244</v>
      </c>
      <c r="J44" t="s">
        <v>245</v>
      </c>
      <c r="K44" t="s">
        <v>246</v>
      </c>
      <c r="L44" t="s">
        <v>248</v>
      </c>
    </row>
    <row r="45" spans="1:12" x14ac:dyDescent="0.15">
      <c r="A45">
        <v>5</v>
      </c>
      <c r="B45" t="s">
        <v>261</v>
      </c>
      <c r="C45" t="s">
        <v>262</v>
      </c>
      <c r="D45" t="s">
        <v>254</v>
      </c>
      <c r="E45">
        <v>350</v>
      </c>
      <c r="F45">
        <v>0.7</v>
      </c>
      <c r="G45">
        <v>0.88700000000000001</v>
      </c>
      <c r="H45" s="92">
        <f>Laadinfra8[[#This Row],[Purchase (€)]]+Laadinfra8[[#This Row],[Installation costs (€)]]</f>
        <v>0</v>
      </c>
      <c r="I45" s="111"/>
      <c r="J45" s="111"/>
      <c r="K45" s="111"/>
      <c r="L45" s="111">
        <v>0.5</v>
      </c>
    </row>
    <row r="46" spans="1:12" x14ac:dyDescent="0.15">
      <c r="A46">
        <v>4</v>
      </c>
      <c r="B46" t="s">
        <v>259</v>
      </c>
      <c r="C46" t="s">
        <v>260</v>
      </c>
      <c r="D46" t="s">
        <v>254</v>
      </c>
      <c r="E46">
        <v>150</v>
      </c>
      <c r="F46">
        <v>0.7</v>
      </c>
      <c r="G46">
        <v>0.88700000000000001</v>
      </c>
      <c r="H46" s="92">
        <f>Laadinfra8[[#This Row],[Purchase (€)]]+Laadinfra8[[#This Row],[Installation costs (€)]]</f>
        <v>0</v>
      </c>
      <c r="I46" s="111"/>
      <c r="J46" s="111"/>
      <c r="K46" s="111"/>
      <c r="L46" s="111">
        <v>0.45</v>
      </c>
    </row>
    <row r="47" spans="1:12" x14ac:dyDescent="0.15">
      <c r="A47">
        <v>3</v>
      </c>
      <c r="B47" t="s">
        <v>257</v>
      </c>
      <c r="C47" t="s">
        <v>258</v>
      </c>
      <c r="D47" t="s">
        <v>254</v>
      </c>
      <c r="E47">
        <v>50</v>
      </c>
      <c r="F47">
        <v>0.7</v>
      </c>
      <c r="G47">
        <v>0.88700000000000001</v>
      </c>
      <c r="H47" s="92">
        <f>Laadinfra8[[#This Row],[Purchase (€)]]+Laadinfra8[[#This Row],[Installation costs (€)]]</f>
        <v>0</v>
      </c>
      <c r="I47" s="111"/>
      <c r="J47" s="111"/>
      <c r="K47" s="111"/>
      <c r="L47" s="111">
        <v>0.35</v>
      </c>
    </row>
    <row r="48" spans="1:12" x14ac:dyDescent="0.15">
      <c r="A48">
        <v>2</v>
      </c>
      <c r="B48" t="s">
        <v>255</v>
      </c>
      <c r="C48" t="s">
        <v>256</v>
      </c>
      <c r="D48" t="s">
        <v>254</v>
      </c>
      <c r="E48">
        <v>20</v>
      </c>
      <c r="F48">
        <v>0.8</v>
      </c>
      <c r="G48">
        <v>0.90200000000000002</v>
      </c>
      <c r="H48" s="92">
        <f>Laadinfra8[[#This Row],[Purchase (€)]]+Laadinfra8[[#This Row],[Installation costs (€)]]</f>
        <v>0</v>
      </c>
      <c r="I48" s="111"/>
      <c r="J48" s="111"/>
      <c r="K48" s="111"/>
      <c r="L48" s="111">
        <v>0.3</v>
      </c>
    </row>
    <row r="49" spans="1:12" x14ac:dyDescent="0.15">
      <c r="A49">
        <v>1</v>
      </c>
      <c r="B49" t="s">
        <v>252</v>
      </c>
      <c r="C49" t="s">
        <v>253</v>
      </c>
      <c r="D49" t="s">
        <v>254</v>
      </c>
      <c r="E49">
        <v>10</v>
      </c>
      <c r="F49">
        <v>0.8</v>
      </c>
      <c r="G49">
        <v>0.90200000000000002</v>
      </c>
      <c r="H49" s="92">
        <f>Laadinfra8[[#This Row],[Purchase (€)]]+Laadinfra8[[#This Row],[Installation costs (€)]]</f>
        <v>2927</v>
      </c>
      <c r="I49" s="112">
        <v>1890</v>
      </c>
      <c r="J49" s="112">
        <v>1037</v>
      </c>
      <c r="K49" s="112">
        <v>438</v>
      </c>
      <c r="L49" s="111">
        <v>0.3</v>
      </c>
    </row>
    <row r="51" spans="1:12" x14ac:dyDescent="0.15">
      <c r="A51" t="s">
        <v>414</v>
      </c>
    </row>
    <row r="52" spans="1:12" x14ac:dyDescent="0.15">
      <c r="A52" t="s">
        <v>165</v>
      </c>
      <c r="B52" t="s">
        <v>408</v>
      </c>
      <c r="C52" t="s">
        <v>409</v>
      </c>
      <c r="D52" t="s">
        <v>410</v>
      </c>
      <c r="E52" t="s">
        <v>411</v>
      </c>
      <c r="F52" t="s">
        <v>412</v>
      </c>
      <c r="G52" t="s">
        <v>413</v>
      </c>
      <c r="H52" t="s">
        <v>81</v>
      </c>
    </row>
    <row r="53" spans="1:12" x14ac:dyDescent="0.15">
      <c r="A53">
        <v>1</v>
      </c>
      <c r="B53" t="str">
        <f>+Config!B190</f>
        <v>Kleine bakwagen</v>
      </c>
      <c r="C53">
        <v>8.120688068697296E-2</v>
      </c>
      <c r="D53" s="92">
        <v>2.3121345000000001E-2</v>
      </c>
      <c r="E53" s="92">
        <v>73.791359999999997</v>
      </c>
      <c r="F53" s="92">
        <v>410.75625000000002</v>
      </c>
      <c r="G53" s="92">
        <v>0.33928247454491889</v>
      </c>
      <c r="H53" s="92">
        <v>750</v>
      </c>
    </row>
    <row r="54" spans="1:12" x14ac:dyDescent="0.15">
      <c r="A54">
        <v>2</v>
      </c>
      <c r="B54" t="str">
        <f>+Config!B191</f>
        <v>Medium bakwagen</v>
      </c>
      <c r="C54">
        <v>8.120688068697296E-2</v>
      </c>
      <c r="D54" s="92">
        <v>2.2769128499999999E-2</v>
      </c>
      <c r="E54" s="92">
        <v>73.791359999999997</v>
      </c>
      <c r="F54" s="92">
        <v>399.10124999999999</v>
      </c>
      <c r="G54" s="92">
        <v>0.39397641101914582</v>
      </c>
      <c r="H54" s="92">
        <v>750</v>
      </c>
    </row>
    <row r="55" spans="1:12" x14ac:dyDescent="0.15">
      <c r="A55">
        <v>3</v>
      </c>
      <c r="B55" t="str">
        <f>+Config!B192</f>
        <v>Grote bakwagen</v>
      </c>
      <c r="C55">
        <v>8.120688068697296E-2</v>
      </c>
      <c r="D55" s="92">
        <v>2.2416912000000001E-2</v>
      </c>
      <c r="E55" s="92">
        <v>73.791359999999997</v>
      </c>
      <c r="F55" s="92">
        <v>399.10124999999999</v>
      </c>
      <c r="G55" s="92">
        <v>0.44867034749337281</v>
      </c>
      <c r="H55" s="92">
        <v>750</v>
      </c>
    </row>
    <row r="56" spans="1:12" x14ac:dyDescent="0.15">
      <c r="A56">
        <v>4</v>
      </c>
      <c r="B56" t="str">
        <f>+Config!B193</f>
        <v>Lichte trekker z/opl</v>
      </c>
      <c r="C56">
        <v>7.472008133479488E-2</v>
      </c>
      <c r="D56" s="92">
        <v>3.4449939999999998E-2</v>
      </c>
      <c r="E56" s="92">
        <v>73.791359999999997</v>
      </c>
      <c r="F56" s="92">
        <v>996.82219999999995</v>
      </c>
      <c r="G56" s="92">
        <v>0.56501921174668646</v>
      </c>
      <c r="H56" s="92">
        <v>1250</v>
      </c>
    </row>
    <row r="57" spans="1:12" x14ac:dyDescent="0.15">
      <c r="A57">
        <v>5</v>
      </c>
      <c r="B57" t="str">
        <f>+Config!B194</f>
        <v>Zware trekker z/opl</v>
      </c>
      <c r="C57">
        <v>6.8233281982616786E-2</v>
      </c>
      <c r="D57" s="92">
        <v>4.6482967999999993E-2</v>
      </c>
      <c r="E57" s="92">
        <v>73.791359999999997</v>
      </c>
      <c r="F57" s="92">
        <v>996.82219999999995</v>
      </c>
      <c r="G57" s="92">
        <v>0.68136807600000004</v>
      </c>
      <c r="H57" s="92">
        <v>1250</v>
      </c>
    </row>
  </sheetData>
  <pageMargins left="0.7" right="0.7" top="0.75" bottom="0.75" header="0.3" footer="0.3"/>
  <pageSetup paperSize="9" orientation="portrait" r:id="rId1"/>
  <ignoredErrors>
    <ignoredError sqref="B12 B16 B20" formula="1"/>
  </ignoredErrors>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0" tint="-0.499984740745262"/>
  </sheetPr>
  <dimension ref="A1:G107"/>
  <sheetViews>
    <sheetView workbookViewId="0">
      <selection activeCell="C23" sqref="C23"/>
    </sheetView>
  </sheetViews>
  <sheetFormatPr defaultRowHeight="10.5" x14ac:dyDescent="0.15"/>
  <cols>
    <col min="1" max="1" width="34.5703125" bestFit="1" customWidth="1"/>
    <col min="2" max="2" width="30.42578125" bestFit="1" customWidth="1"/>
    <col min="3" max="3" width="25.85546875" bestFit="1" customWidth="1"/>
    <col min="4" max="4" width="23.42578125" bestFit="1" customWidth="1"/>
  </cols>
  <sheetData>
    <row r="1" spans="1:7" x14ac:dyDescent="0.15">
      <c r="A1" s="91" t="s">
        <v>7</v>
      </c>
    </row>
    <row r="2" spans="1:7" x14ac:dyDescent="0.15">
      <c r="A2" t="s">
        <v>12</v>
      </c>
      <c r="B2" s="101" t="str">
        <f>LEFT(C2,FIND("(",C2)-2)</f>
        <v>Grote bakwagen</v>
      </c>
      <c r="C2" s="101" t="str">
        <f>voertuigtype_input</f>
        <v>Grote bakwagen (lvm &gt;18 ton)</v>
      </c>
      <c r="F2" s="101" t="s">
        <v>263</v>
      </c>
      <c r="G2" s="90" t="s">
        <v>264</v>
      </c>
    </row>
    <row r="3" spans="1:7" x14ac:dyDescent="0.15">
      <c r="A3" t="s">
        <v>186</v>
      </c>
      <c r="B3" s="102">
        <f>INDEX(VehicleCatalogus[#All],MATCH($B$2,VehicleCatalogus[[#All],[Veh. Type]],0),3)</f>
        <v>3</v>
      </c>
      <c r="F3" s="102" t="s">
        <v>263</v>
      </c>
      <c r="G3" s="90" t="s">
        <v>265</v>
      </c>
    </row>
    <row r="4" spans="1:7" x14ac:dyDescent="0.15">
      <c r="A4" t="s">
        <v>14</v>
      </c>
      <c r="B4" s="101" t="str">
        <f>koelmachine</f>
        <v>niet gekoeld</v>
      </c>
    </row>
    <row r="5" spans="1:7" x14ac:dyDescent="0.15">
      <c r="A5" t="s">
        <v>17</v>
      </c>
      <c r="B5" s="106">
        <f>DV_mileage</f>
        <v>70000</v>
      </c>
      <c r="C5" s="425">
        <f>IFERROR(INDEX(Invoervelden!$D$3:$D$17,MATCH(Calculatie!$C$2,Invoervelden!$B$3:$B$7,0)),30000)</f>
        <v>70000</v>
      </c>
    </row>
    <row r="6" spans="1:7" x14ac:dyDescent="0.15">
      <c r="A6" t="s">
        <v>19</v>
      </c>
      <c r="B6" s="101" t="str">
        <f>Electricity_type</f>
        <v>Groen</v>
      </c>
    </row>
    <row r="7" spans="1:7" x14ac:dyDescent="0.15">
      <c r="A7" t="s">
        <v>22</v>
      </c>
      <c r="B7" s="101" t="str">
        <f>H2_type</f>
        <v>Electrolyse (hernieuwbare energie)</v>
      </c>
    </row>
    <row r="8" spans="1:7" x14ac:dyDescent="0.15">
      <c r="A8" t="s">
        <v>24</v>
      </c>
      <c r="B8" s="101" t="str">
        <f>'Input-Output Module'!B19</f>
        <v>BV of NV met 15% belasting</v>
      </c>
    </row>
    <row r="9" spans="1:7" x14ac:dyDescent="0.15">
      <c r="A9" t="s">
        <v>26</v>
      </c>
      <c r="B9" s="107">
        <f>'Input-Output Module'!B20</f>
        <v>2030</v>
      </c>
    </row>
    <row r="10" spans="1:7" x14ac:dyDescent="0.15">
      <c r="A10" t="s">
        <v>27</v>
      </c>
      <c r="B10" s="101" t="str">
        <f>bedrijftype_input</f>
        <v>Groot</v>
      </c>
    </row>
    <row r="12" spans="1:7" x14ac:dyDescent="0.15">
      <c r="B12" t="s">
        <v>177</v>
      </c>
      <c r="C12" t="s">
        <v>179</v>
      </c>
      <c r="D12" t="s">
        <v>182</v>
      </c>
    </row>
    <row r="13" spans="1:7" x14ac:dyDescent="0.15">
      <c r="A13" s="91" t="s">
        <v>8</v>
      </c>
      <c r="B13" s="101" t="s">
        <v>9</v>
      </c>
      <c r="C13" s="101" t="s">
        <v>10</v>
      </c>
      <c r="D13" s="101" t="s">
        <v>11</v>
      </c>
    </row>
    <row r="14" spans="1:7" x14ac:dyDescent="0.15">
      <c r="A14" t="s">
        <v>158</v>
      </c>
      <c r="B14" s="101">
        <f>DV_age</f>
        <v>7</v>
      </c>
      <c r="C14" s="101">
        <f>EV_age</f>
        <v>7</v>
      </c>
      <c r="D14" s="101">
        <f>FC_age</f>
        <v>7</v>
      </c>
    </row>
    <row r="15" spans="1:7" x14ac:dyDescent="0.15">
      <c r="A15" t="s">
        <v>21</v>
      </c>
      <c r="B15" s="103">
        <f>DV_reparaties</f>
        <v>1000</v>
      </c>
      <c r="C15" s="103">
        <f>EV_reparaties</f>
        <v>1000</v>
      </c>
      <c r="D15" s="103">
        <f>FC_reparaties</f>
        <v>3000</v>
      </c>
    </row>
    <row r="16" spans="1:7" x14ac:dyDescent="0.15">
      <c r="A16" t="s">
        <v>161</v>
      </c>
      <c r="B16" s="101">
        <f>Parameters!$B$2</f>
        <v>260</v>
      </c>
      <c r="C16" s="102">
        <f>Parameters!$B$2-'Input-Output Module'!F18</f>
        <v>260</v>
      </c>
      <c r="D16" s="102">
        <f>Parameters!$B$2-'Input-Output Module'!G18</f>
        <v>260</v>
      </c>
    </row>
    <row r="17" spans="1:5" x14ac:dyDescent="0.15">
      <c r="A17" t="s">
        <v>18</v>
      </c>
      <c r="B17" s="101">
        <f>DV_productivehours</f>
        <v>2600</v>
      </c>
      <c r="C17" s="102">
        <f>C16*B18</f>
        <v>2600</v>
      </c>
      <c r="D17" s="102">
        <f>D16*B18</f>
        <v>2600</v>
      </c>
    </row>
    <row r="18" spans="1:5" x14ac:dyDescent="0.15">
      <c r="A18" t="s">
        <v>162</v>
      </c>
      <c r="B18" s="102">
        <f>B17/B16</f>
        <v>10</v>
      </c>
      <c r="C18" s="102">
        <f>C17/C16</f>
        <v>10</v>
      </c>
      <c r="D18" s="102">
        <f>D17/D16</f>
        <v>10</v>
      </c>
    </row>
    <row r="19" spans="1:5" x14ac:dyDescent="0.15">
      <c r="A19" t="s">
        <v>192</v>
      </c>
      <c r="B19" s="105">
        <f>B5/B16</f>
        <v>269.23076923076923</v>
      </c>
      <c r="C19" s="104">
        <f>B19</f>
        <v>269.23076923076923</v>
      </c>
      <c r="D19" s="104">
        <f>B19</f>
        <v>269.23076923076923</v>
      </c>
    </row>
    <row r="20" spans="1:5" x14ac:dyDescent="0.15">
      <c r="A20" t="s">
        <v>189</v>
      </c>
      <c r="B20" s="101"/>
      <c r="C20" s="102">
        <f>MIN(8,24-C18)</f>
        <v>8</v>
      </c>
      <c r="D20" s="101"/>
    </row>
    <row r="21" spans="1:5" x14ac:dyDescent="0.15">
      <c r="A21" s="90" t="s">
        <v>223</v>
      </c>
      <c r="B21" s="101"/>
      <c r="C21" s="101">
        <f>batt_cap_input</f>
        <v>260</v>
      </c>
      <c r="D21" s="101">
        <f>'Input-Output Module'!G22</f>
        <v>140</v>
      </c>
    </row>
    <row r="22" spans="1:5" x14ac:dyDescent="0.15">
      <c r="A22" s="90" t="s">
        <v>282</v>
      </c>
      <c r="C22" s="101">
        <f>charge_power_input</f>
        <v>50</v>
      </c>
    </row>
    <row r="24" spans="1:5" x14ac:dyDescent="0.15">
      <c r="A24" s="91" t="s">
        <v>205</v>
      </c>
    </row>
    <row r="25" spans="1:5" x14ac:dyDescent="0.15">
      <c r="A25" s="90" t="s">
        <v>224</v>
      </c>
      <c r="C25" s="102">
        <f>'M1-PowerSupply'!C17</f>
        <v>260</v>
      </c>
      <c r="D25" s="102">
        <f>'M1-PowerSupply'!E24</f>
        <v>140</v>
      </c>
    </row>
    <row r="26" spans="1:5" x14ac:dyDescent="0.15">
      <c r="A26" s="91" t="s">
        <v>267</v>
      </c>
      <c r="C26" s="102">
        <f>C21</f>
        <v>260</v>
      </c>
      <c r="D26" s="102">
        <f>D21</f>
        <v>140</v>
      </c>
      <c r="E26" s="90" t="s">
        <v>235</v>
      </c>
    </row>
    <row r="27" spans="1:5" x14ac:dyDescent="0.15">
      <c r="A27" t="s">
        <v>201</v>
      </c>
      <c r="B27" s="102">
        <v>1</v>
      </c>
      <c r="C27" s="102">
        <f>INDEX('M1-PowerSupply'!$A$24:$A$27,MATCH(C26,'M1-PowerSupply'!$B$24:$B$27,0))</f>
        <v>4</v>
      </c>
      <c r="D27" s="102">
        <v>1</v>
      </c>
    </row>
    <row r="28" spans="1:5" x14ac:dyDescent="0.15">
      <c r="A28" s="91" t="s">
        <v>202</v>
      </c>
      <c r="B28" s="102" t="str">
        <f>INDEX(VehicleCatalogus[#All],MATCH(B29,VehicleCatalogus[[#All],[ID]],0),6)</f>
        <v>Grote bakwagen</v>
      </c>
      <c r="C28" s="102" t="str">
        <f>INDEX(VehicleCatalogus[#All],MATCH(C29,VehicleCatalogus[[#All],[ID]],0),6)</f>
        <v>Grote bakwagen 260 kWh</v>
      </c>
      <c r="D28" s="102" t="str">
        <f>INDEX(VehicleCatalogus[#All],MATCH(D29,VehicleCatalogus[[#All],[ID]],0),6)</f>
        <v>Grote bakwagen 45 kW</v>
      </c>
    </row>
    <row r="29" spans="1:5" x14ac:dyDescent="0.15">
      <c r="A29" t="s">
        <v>203</v>
      </c>
      <c r="B29" s="102">
        <f>SUMIFS(VehicleCatalogus[[#All],[ID]],VehicleCatalogus[[#All],[Fuel]],B$12,VehicleCatalogus[[#All],[Veh. Type ID]],$B$3,VehicleCatalogus[[#All],[Variant ID]],B$27)</f>
        <v>3</v>
      </c>
      <c r="C29" s="102">
        <f>SUMIFS(VehicleCatalogus[[#All],[ID]],VehicleCatalogus[[#All],[Fuel]],C$12,VehicleCatalogus[[#All],[Veh. Type ID]],$B$3,VehicleCatalogus[[#All],[Variant ID]],C$27)</f>
        <v>17</v>
      </c>
      <c r="D29" s="102">
        <f>SUMIFS(VehicleCatalogus[[#All],[ID]],VehicleCatalogus[[#All],[Fuel]],D$12,VehicleCatalogus[[#All],[Veh. Type ID]],$B$3,VehicleCatalogus[[#All],[Variant ID]],D$27)</f>
        <v>28</v>
      </c>
    </row>
    <row r="30" spans="1:5" x14ac:dyDescent="0.15">
      <c r="A30" s="90" t="s">
        <v>227</v>
      </c>
      <c r="D30" s="105">
        <f>'M1-PowerSupply'!F24</f>
        <v>20</v>
      </c>
    </row>
    <row r="31" spans="1:5" x14ac:dyDescent="0.15">
      <c r="A31" s="90" t="s">
        <v>228</v>
      </c>
      <c r="D31" s="104">
        <f>'Input-Output Module'!G23</f>
        <v>20</v>
      </c>
    </row>
    <row r="32" spans="1:5" x14ac:dyDescent="0.15">
      <c r="A32" s="91" t="s">
        <v>266</v>
      </c>
      <c r="D32" s="105">
        <f>D31</f>
        <v>20</v>
      </c>
      <c r="E32" s="90" t="s">
        <v>235</v>
      </c>
    </row>
    <row r="33" spans="1:5" x14ac:dyDescent="0.15">
      <c r="A33" t="s">
        <v>229</v>
      </c>
      <c r="D33" s="108">
        <f>((D26-D25)*Catalogus!U31)+((D32-D30)*Catalogus!U32)</f>
        <v>0</v>
      </c>
    </row>
    <row r="34" spans="1:5" x14ac:dyDescent="0.15">
      <c r="A34" s="109" t="s">
        <v>220</v>
      </c>
      <c r="B34" s="124">
        <f>INDEX(VehicleCatalogus[[#All],[Veh. Price]],MATCH(Calculatie!$B29,VehicleCatalogus[[#All],[ID]],0))+IF($B$4=Config!$B$179,INDEX(VehicleCatalogus[[#All],[Koeling]],MATCH(Calculatie!$B29,VehicleCatalogus[[#All],[ID]],0)),0)</f>
        <v>132250</v>
      </c>
      <c r="C34" s="124">
        <f>INDEX(VehicleCatalogus[[#All],[Veh. Price]],MATCH(Calculatie!$C29,VehicleCatalogus[[#All],[ID]],0))+IF($B$4=Config!$B$179,INDEX(VehicleCatalogus[[#All],[Koeling]],MATCH(Calculatie!$C29,VehicleCatalogus[[#All],[ID]],0)),0)</f>
        <v>250000</v>
      </c>
      <c r="D34" s="124">
        <f>INDEX(VehicleCatalogus[[#All],[Veh. Price]],MATCH(Calculatie!$D29,VehicleCatalogus[[#All],[ID]],0))+D33+IF($B$4=Config!$B$179,INDEX(VehicleCatalogus[[#All],[Koeling]],MATCH(Calculatie!$D29,VehicleCatalogus[[#All],[ID]],0)),0)</f>
        <v>411109.82250000001</v>
      </c>
    </row>
    <row r="35" spans="1:5" x14ac:dyDescent="0.15">
      <c r="A35" s="109" t="s">
        <v>221</v>
      </c>
      <c r="B35" s="167"/>
      <c r="C35" s="125">
        <f>'Input-Output Module'!C29</f>
        <v>250000</v>
      </c>
      <c r="D35" s="125">
        <f>'Input-Output Module'!D29</f>
        <v>411109.82250000001</v>
      </c>
    </row>
    <row r="36" spans="1:5" x14ac:dyDescent="0.15">
      <c r="A36" s="113" t="s">
        <v>222</v>
      </c>
      <c r="B36" s="124">
        <f>IF(B35&lt;&gt;0,B35,B34)</f>
        <v>132250</v>
      </c>
      <c r="C36" s="124">
        <f>C35</f>
        <v>250000</v>
      </c>
      <c r="D36" s="124">
        <f>D35</f>
        <v>411109.82250000001</v>
      </c>
      <c r="E36" s="90" t="s">
        <v>235</v>
      </c>
    </row>
    <row r="37" spans="1:5" x14ac:dyDescent="0.15">
      <c r="A37" s="109" t="s">
        <v>206</v>
      </c>
      <c r="B37" s="124">
        <f>VLOOKUP(IF(B14&gt;10,"&gt;10",B14),Deprciation[#All],2,FALSE)*B36</f>
        <v>30563.182148350996</v>
      </c>
      <c r="C37" s="124">
        <f>VLOOKUP(IF(C14&gt;10,"&gt;10",C14),Deprciation[#All],2,FALSE)*C36</f>
        <v>57775.391584784491</v>
      </c>
      <c r="D37" s="124">
        <f>VLOOKUP(IF(D14&gt;10,"&gt;10",D14),Deprciation[#All],2,FALSE)*D36</f>
        <v>95008.123917154997</v>
      </c>
    </row>
    <row r="38" spans="1:5" x14ac:dyDescent="0.15">
      <c r="A38" s="109" t="s">
        <v>207</v>
      </c>
      <c r="B38" s="125">
        <f>DV_rest_input</f>
        <v>30563.182148350996</v>
      </c>
      <c r="C38" s="125">
        <f>EV_rest_input</f>
        <v>57775.391584784491</v>
      </c>
      <c r="D38" s="125">
        <f>FC_rest_input</f>
        <v>95008.123917154997</v>
      </c>
    </row>
    <row r="39" spans="1:5" x14ac:dyDescent="0.15">
      <c r="A39" s="113" t="s">
        <v>208</v>
      </c>
      <c r="B39" s="124">
        <f>IF(B38&lt;&gt;"",B38,B37)</f>
        <v>30563.182148350996</v>
      </c>
      <c r="C39" s="124">
        <f t="shared" ref="C39:D39" si="0">IF(C38&lt;&gt;"",C38,C37)</f>
        <v>57775.391584784491</v>
      </c>
      <c r="D39" s="124">
        <f t="shared" si="0"/>
        <v>95008.123917154997</v>
      </c>
      <c r="E39" s="90" t="s">
        <v>235</v>
      </c>
    </row>
    <row r="40" spans="1:5" x14ac:dyDescent="0.15">
      <c r="A40" s="114" t="s">
        <v>268</v>
      </c>
      <c r="C40" s="117">
        <f>INDEX(Laadinfra[Purchase (€)],MATCH('M1-PowerSupply'!B38,Laadinfra[Charging type],0))</f>
        <v>18375</v>
      </c>
    </row>
    <row r="41" spans="1:5" x14ac:dyDescent="0.15">
      <c r="A41" s="114" t="s">
        <v>269</v>
      </c>
      <c r="C41" s="116">
        <f>'Input-Output Module'!C35</f>
        <v>18375</v>
      </c>
    </row>
    <row r="42" spans="1:5" x14ac:dyDescent="0.15">
      <c r="A42" s="115" t="s">
        <v>270</v>
      </c>
      <c r="C42" s="110">
        <f>C41</f>
        <v>18375</v>
      </c>
    </row>
    <row r="43" spans="1:5" x14ac:dyDescent="0.15">
      <c r="A43" s="114" t="s">
        <v>271</v>
      </c>
      <c r="C43" s="117">
        <f>INDEX(Laadinfra[Installation costs (€)],MATCH('M1-PowerSupply'!B38,Laadinfra[Charging type],0))</f>
        <v>10840.5</v>
      </c>
    </row>
    <row r="44" spans="1:5" x14ac:dyDescent="0.15">
      <c r="A44" s="114" t="s">
        <v>272</v>
      </c>
      <c r="C44" s="116">
        <f>'Input-Output Module'!C36</f>
        <v>10840.5</v>
      </c>
    </row>
    <row r="45" spans="1:5" x14ac:dyDescent="0.15">
      <c r="A45" s="115" t="s">
        <v>273</v>
      </c>
      <c r="C45" s="110">
        <f>C44</f>
        <v>10840.5</v>
      </c>
    </row>
    <row r="46" spans="1:5" x14ac:dyDescent="0.15">
      <c r="A46" s="91" t="s">
        <v>327</v>
      </c>
      <c r="C46" s="125">
        <f>'M2-Subsidie'!$B$54</f>
        <v>0</v>
      </c>
      <c r="D46" s="125">
        <f>'M2-Subsidie'!$C$54</f>
        <v>0</v>
      </c>
    </row>
    <row r="47" spans="1:5" x14ac:dyDescent="0.15">
      <c r="A47" s="91" t="s">
        <v>307</v>
      </c>
      <c r="C47" s="125">
        <f>'M2-Subsidie'!$B$55</f>
        <v>0</v>
      </c>
      <c r="D47" s="125">
        <f>'M2-Subsidie'!$C$55</f>
        <v>0</v>
      </c>
    </row>
    <row r="48" spans="1:5" x14ac:dyDescent="0.15">
      <c r="A48" s="91" t="s">
        <v>328</v>
      </c>
      <c r="C48" s="125">
        <f>'M2-Subsidie'!$B$56</f>
        <v>0</v>
      </c>
      <c r="D48" s="123"/>
    </row>
    <row r="49" spans="1:4" x14ac:dyDescent="0.15">
      <c r="A49" s="91" t="s">
        <v>330</v>
      </c>
      <c r="C49" s="125">
        <f>'M2-Subsidie'!$B$57</f>
        <v>0</v>
      </c>
      <c r="D49" s="125">
        <f>'M2-Subsidie'!$C$57</f>
        <v>0</v>
      </c>
    </row>
    <row r="50" spans="1:4" x14ac:dyDescent="0.15">
      <c r="A50" s="91" t="s">
        <v>331</v>
      </c>
      <c r="B50" s="110">
        <f>B36</f>
        <v>132250</v>
      </c>
      <c r="C50" s="124">
        <f>C36-C46-C47</f>
        <v>250000</v>
      </c>
      <c r="D50" s="124">
        <f>D36-D46-D47</f>
        <v>411109.82250000001</v>
      </c>
    </row>
    <row r="51" spans="1:4" x14ac:dyDescent="0.15">
      <c r="A51" s="91" t="s">
        <v>44</v>
      </c>
      <c r="C51" s="124">
        <f>C42+C45-C48</f>
        <v>29215.5</v>
      </c>
    </row>
    <row r="53" spans="1:4" x14ac:dyDescent="0.15">
      <c r="A53" s="91" t="s">
        <v>383</v>
      </c>
      <c r="B53" t="s">
        <v>178</v>
      </c>
      <c r="C53" t="s">
        <v>180</v>
      </c>
      <c r="D53" t="s">
        <v>388</v>
      </c>
    </row>
    <row r="54" spans="1:4" x14ac:dyDescent="0.15">
      <c r="A54" s="120" t="s">
        <v>384</v>
      </c>
      <c r="B54" s="105">
        <f>$B$5*'M1-PowerSupply'!B10</f>
        <v>19979.253814883396</v>
      </c>
      <c r="C54" s="105">
        <f>$B$5*'M1-PowerSupply'!C10</f>
        <v>94020.017952392445</v>
      </c>
      <c r="D54" s="105">
        <f>$B$5*'M1-PowerSupply'!D10</f>
        <v>6218.2551555815107</v>
      </c>
    </row>
    <row r="55" spans="1:4" x14ac:dyDescent="0.15">
      <c r="A55" s="120" t="s">
        <v>385</v>
      </c>
      <c r="B55" s="105">
        <f>B17*Parameters!$B$19*'M1-PowerSupply'!B11</f>
        <v>0</v>
      </c>
      <c r="C55" s="105">
        <f>C17*Parameters!$B$19*'M1-PowerSupply'!C11</f>
        <v>0</v>
      </c>
      <c r="D55" s="105">
        <f>D17*Parameters!$B$19*'M1-PowerSupply'!D11</f>
        <v>0</v>
      </c>
    </row>
    <row r="56" spans="1:4" x14ac:dyDescent="0.15">
      <c r="A56" s="120" t="s">
        <v>387</v>
      </c>
      <c r="C56" s="162">
        <f>1-Parameters!B9</f>
        <v>4.500000000000004E-2</v>
      </c>
    </row>
    <row r="57" spans="1:4" x14ac:dyDescent="0.15">
      <c r="A57" s="91" t="s">
        <v>386</v>
      </c>
      <c r="B57" s="105">
        <f>SUM(B54:B55)</f>
        <v>19979.253814883396</v>
      </c>
      <c r="C57" s="105">
        <f>SUM(C54:C55)/(1-C56)</f>
        <v>98450.280578421414</v>
      </c>
      <c r="D57" s="105">
        <f t="shared" ref="D57" si="1">SUM(D54:D55)</f>
        <v>6218.2551555815107</v>
      </c>
    </row>
    <row r="58" spans="1:4" x14ac:dyDescent="0.15">
      <c r="A58" s="91"/>
      <c r="B58" s="89"/>
      <c r="C58" s="89"/>
      <c r="D58" s="89"/>
    </row>
    <row r="59" spans="1:4" x14ac:dyDescent="0.15">
      <c r="A59" s="91" t="s">
        <v>396</v>
      </c>
      <c r="B59" s="89"/>
      <c r="C59" s="89"/>
      <c r="D59" s="89"/>
    </row>
    <row r="60" spans="1:4" x14ac:dyDescent="0.15">
      <c r="A60" s="120" t="s">
        <v>407</v>
      </c>
      <c r="B60" s="105">
        <f>($B$57*SUMIFS(Fuel_Emission_factors[[#All],[CO2-eq (kg per unit)]],Fuel_Emission_factors[[#All],[Fuel category ID]],$B$12,Fuel_Emission_factors[[#All],[Fuel type / Vehicle type]],$B$2))/1000</f>
        <v>64.716077686277629</v>
      </c>
      <c r="C60" s="105">
        <f>($C$57*SUMIFS(Fuel_Emission_factors[[#All],[CO2-eq (kg per unit)]],Fuel_Emission_factors[[#All],[Fuel category ID]],$C$12,Fuel_Emission_factors[[#All],[Fuel type / Vehicle type]],$B$6))/1000</f>
        <v>0</v>
      </c>
      <c r="D60" s="105">
        <f>($D$57*SUMIFS(Fuel_Emission_factors[[#All],[CO2-eq (kg per unit)]],Fuel_Emission_factors[[#All],[Fuel category ID]],$D$12,Fuel_Emission_factors[[#All],[Fuel type / Vehicle type]],$B$7))/1000</f>
        <v>0</v>
      </c>
    </row>
    <row r="61" spans="1:4" x14ac:dyDescent="0.15">
      <c r="A61" s="120" t="s">
        <v>390</v>
      </c>
      <c r="B61" s="105">
        <f>($B$57*SUMIFS(Fuel_Emission_factors[[#All],[PM10 combustion (g per unit)]],Fuel_Emission_factors[[#All],[Fuel category ID]],$B$12,Fuel_Emission_factors[[#All],[Fuel type / Vehicle type]],$B$2))/1000</f>
        <v>0.77174577238606457</v>
      </c>
      <c r="C61" s="105">
        <f>($C$57*SUMIFS(Fuel_Emission_factors[[#All],[PM10 combustion (g per unit)]],Fuel_Emission_factors[[#All],[Fuel category ID]],$C$12,Fuel_Emission_factors[[#All],[Fuel type / Vehicle type]],$B$6))/1000</f>
        <v>0</v>
      </c>
      <c r="D61" s="105">
        <f>($D$57*SUMIFS(Fuel_Emission_factors[[#All],[PM10 combustion (g per unit)]],Fuel_Emission_factors[[#All],[Fuel category ID]],$D$12,Fuel_Emission_factors[[#All],[Fuel type / Vehicle type]],$B$7))/1000</f>
        <v>0</v>
      </c>
    </row>
    <row r="62" spans="1:4" x14ac:dyDescent="0.15">
      <c r="A62" s="120" t="s">
        <v>391</v>
      </c>
      <c r="B62" s="105">
        <f>INDEX(Misc_Ops_Parameters[[#All],[PM_wear from tires]],MATCH(Calculatie!B2,Misc_Ops_Parameters[[#All],[Vehicle type]],0))*$B$5/1000</f>
        <v>5.6844816480881075</v>
      </c>
      <c r="C62" s="105">
        <f>INDEX(Misc_Ops_Parameters[[#All],[PM_wear from tires]],MATCH(Calculatie!B2,Misc_Ops_Parameters[[#All],[Vehicle type]],0))*$B$5/1000</f>
        <v>5.6844816480881075</v>
      </c>
      <c r="D62" s="105">
        <f>INDEX(Misc_Ops_Parameters[[#All],[PM_wear from tires]],MATCH(Calculatie!B2,Misc_Ops_Parameters[[#All],[Vehicle type]],0))*$B$5/1000</f>
        <v>5.6844816480881075</v>
      </c>
    </row>
    <row r="63" spans="1:4" x14ac:dyDescent="0.15">
      <c r="A63" s="120" t="s">
        <v>392</v>
      </c>
      <c r="B63" s="105">
        <f>($B$57*SUMIFS(Fuel_Emission_factors[[#All],[NOx (g per unit)]],Fuel_Emission_factors[[#All],[Fuel category ID]],$B$12,Fuel_Emission_factors[[#All],[Fuel type / Vehicle type]],$B$2))/1000</f>
        <v>587.67420169038235</v>
      </c>
      <c r="C63" s="105">
        <f>($C$57*SUMIFS(Fuel_Emission_factors[[#All],[NOx (g per unit)]],Fuel_Emission_factors[[#All],[Fuel category ID]],$C$12,Fuel_Emission_factors[[#All],[Fuel type / Vehicle type]],$B$6))/1000</f>
        <v>0</v>
      </c>
      <c r="D63" s="105">
        <f>($D$57*SUMIFS(Fuel_Emission_factors[[#All],[NOx (g per unit)]],Fuel_Emission_factors[[#All],[Fuel category ID]],$D$12,Fuel_Emission_factors[[#All],[Fuel type / Vehicle type]],$B$7))/1000</f>
        <v>0</v>
      </c>
    </row>
    <row r="64" spans="1:4" x14ac:dyDescent="0.15">
      <c r="A64" s="120"/>
      <c r="B64" s="89"/>
      <c r="C64" s="89"/>
      <c r="D64" s="89"/>
    </row>
    <row r="65" spans="1:5" x14ac:dyDescent="0.15">
      <c r="A65" s="120" t="s">
        <v>393</v>
      </c>
      <c r="B65" s="105">
        <f>(Parameters!B13*Parameters!B14)/1000*Calculatie!$B$5</f>
        <v>91.904567548463604</v>
      </c>
      <c r="C65" s="89"/>
      <c r="D65" s="89"/>
    </row>
    <row r="66" spans="1:5" x14ac:dyDescent="0.15">
      <c r="A66" s="120" t="s">
        <v>394</v>
      </c>
      <c r="B66" s="105">
        <f>IF(B63&gt;B65,B63-B65,0)</f>
        <v>495.76963414191874</v>
      </c>
      <c r="C66" s="89"/>
      <c r="D66" s="89"/>
    </row>
    <row r="67" spans="1:5" x14ac:dyDescent="0.15">
      <c r="A67" s="120" t="s">
        <v>395</v>
      </c>
      <c r="B67" s="124">
        <f>B66*Parameters!B10*Parameters!B11*1000</f>
        <v>380.30615112246045</v>
      </c>
      <c r="C67" s="89"/>
      <c r="D67" s="89"/>
    </row>
    <row r="69" spans="1:5" x14ac:dyDescent="0.15">
      <c r="A69" s="91" t="s">
        <v>337</v>
      </c>
      <c r="B69" t="s">
        <v>51</v>
      </c>
      <c r="C69" t="s">
        <v>49</v>
      </c>
      <c r="D69" t="s">
        <v>50</v>
      </c>
    </row>
    <row r="70" spans="1:5" x14ac:dyDescent="0.15">
      <c r="A70" s="90" t="s">
        <v>338</v>
      </c>
      <c r="B70" s="116">
        <f>'Input-Output Module'!E44</f>
        <v>1.92</v>
      </c>
      <c r="C70" s="108">
        <f>INDEX(Laadinfra[Own energy costs (€)],MATCH('M1-PowerSupply'!B38,Laadinfra[Charging type],0))</f>
        <v>0.12349</v>
      </c>
      <c r="D70" s="108">
        <f>INDEX(H2_Fuel_Price[Fuel costs (€/kg)],MATCH(B7,H2_Fuel_Price[Type],0))</f>
        <v>10</v>
      </c>
    </row>
    <row r="71" spans="1:5" x14ac:dyDescent="0.15">
      <c r="A71" s="90" t="s">
        <v>339</v>
      </c>
      <c r="C71" s="116">
        <f>elec_price_input</f>
        <v>0.12349</v>
      </c>
      <c r="D71" s="116">
        <f>h2_price_input</f>
        <v>10</v>
      </c>
    </row>
    <row r="72" spans="1:5" x14ac:dyDescent="0.15">
      <c r="A72" s="91" t="s">
        <v>340</v>
      </c>
      <c r="B72" s="116">
        <f>B70</f>
        <v>1.92</v>
      </c>
      <c r="C72" s="108">
        <f>C71</f>
        <v>0.12349</v>
      </c>
      <c r="D72" s="108">
        <f>D71</f>
        <v>10</v>
      </c>
      <c r="E72" s="90" t="s">
        <v>235</v>
      </c>
    </row>
    <row r="73" spans="1:5" x14ac:dyDescent="0.15">
      <c r="A73" t="s">
        <v>56</v>
      </c>
      <c r="C73" s="116">
        <f>'Input-Output Module'!C45</f>
        <v>0</v>
      </c>
      <c r="D73" s="116">
        <f>'Input-Output Module'!D45</f>
        <v>0</v>
      </c>
    </row>
    <row r="74" spans="1:5" x14ac:dyDescent="0.15">
      <c r="A74" s="91" t="s">
        <v>350</v>
      </c>
      <c r="B74" s="108">
        <f>B72-B73</f>
        <v>1.92</v>
      </c>
      <c r="C74" s="108">
        <f>C72-C73</f>
        <v>0.12349</v>
      </c>
      <c r="D74" s="108">
        <f t="shared" ref="D74" si="2">D72-D73</f>
        <v>10</v>
      </c>
    </row>
    <row r="75" spans="1:5" x14ac:dyDescent="0.15">
      <c r="A75" t="s">
        <v>418</v>
      </c>
      <c r="B75" s="108">
        <f>B54*B74*(1-(1+Parameters!B25)^B14)/(1-(1+Parameters!B25))/B14</f>
        <v>39530.345383458705</v>
      </c>
    </row>
    <row r="76" spans="1:5" x14ac:dyDescent="0.15">
      <c r="A76" t="s">
        <v>419</v>
      </c>
      <c r="B76" s="108">
        <f>B55*B74*(1-(1+Parameters!B25)^B14)/(1-(1+Parameters!B25))/B14</f>
        <v>0</v>
      </c>
    </row>
    <row r="77" spans="1:5" x14ac:dyDescent="0.15">
      <c r="A77" t="s">
        <v>420</v>
      </c>
      <c r="C77" s="124">
        <f>'M1-PowerSupply'!B41*Calculatie!C16*Calculatie!C74*(IF('M1-PowerSupply'!A37=1,(1-(1+Parameters!B28)^C14)/(1-(1+Parameters!B28))/C14,(1-(1+Parameters!B29)^C14)/(1-(1+Parameters!B29))/C14))+(Calculatie!C54+Calculatie!C55-Calculatie!C16*'M1-PowerSupply'!B41)*INDEX(Laadinfra8[[#All],[External energy costs (€)]],MATCH('M1-PowerSupply'!B49,Laadinfra8[[#All],[Charging type]],0))*(1-(1+Parameters!B30)^C14)/(1-(1+Parameters!B30))/C14</f>
        <v>30084.106073879189</v>
      </c>
      <c r="D77" s="124">
        <f>SUM(D54:D55)*D74</f>
        <v>62182.551555815109</v>
      </c>
    </row>
    <row r="78" spans="1:5" x14ac:dyDescent="0.15">
      <c r="C78" s="123"/>
    </row>
    <row r="79" spans="1:5" x14ac:dyDescent="0.15">
      <c r="A79" s="91" t="s">
        <v>421</v>
      </c>
      <c r="E79" t="s">
        <v>429</v>
      </c>
    </row>
    <row r="80" spans="1:5" x14ac:dyDescent="0.15">
      <c r="A80" s="90" t="s">
        <v>422</v>
      </c>
      <c r="B80" s="102">
        <f>INDEX(VehicleCatalogus[[#All],[Tolheffing]],MATCH(Calculatie!B$29,VehicleCatalogus[[#All],[ID]],0))</f>
        <v>0</v>
      </c>
    </row>
    <row r="81" spans="1:5" x14ac:dyDescent="0.15">
      <c r="A81" s="90" t="s">
        <v>423</v>
      </c>
      <c r="B81" s="101">
        <f>IF(ISNUMBER('Input-Output Module'!$G$34),'Input-Output Module'!$G$34,"")</f>
        <v>0</v>
      </c>
    </row>
    <row r="82" spans="1:5" x14ac:dyDescent="0.15">
      <c r="A82" s="91" t="s">
        <v>415</v>
      </c>
      <c r="B82" s="124">
        <f>B81</f>
        <v>0</v>
      </c>
      <c r="C82" s="92"/>
      <c r="D82" s="92"/>
      <c r="E82" s="90" t="s">
        <v>235</v>
      </c>
    </row>
    <row r="83" spans="1:5" x14ac:dyDescent="0.15">
      <c r="A83" s="90" t="s">
        <v>424</v>
      </c>
      <c r="B83" s="127">
        <f>Parameters!B49</f>
        <v>0.75</v>
      </c>
    </row>
    <row r="84" spans="1:5" x14ac:dyDescent="0.15">
      <c r="A84" s="90" t="s">
        <v>425</v>
      </c>
      <c r="B84" s="101">
        <f>IF(ISNUMBER('Input-Output Module'!$G$35),'Input-Output Module'!$G$35,"")</f>
        <v>0.75</v>
      </c>
    </row>
    <row r="85" spans="1:5" x14ac:dyDescent="0.15">
      <c r="A85" s="91" t="s">
        <v>426</v>
      </c>
      <c r="B85" s="127">
        <f>B84</f>
        <v>0.75</v>
      </c>
      <c r="C85" s="98"/>
      <c r="D85" s="98"/>
      <c r="E85" s="90" t="s">
        <v>235</v>
      </c>
    </row>
    <row r="86" spans="1:5" x14ac:dyDescent="0.15">
      <c r="A86" s="91" t="s">
        <v>428</v>
      </c>
      <c r="B86" s="101" t="str">
        <f>'Input-Output Module'!$H$34</f>
        <v>N</v>
      </c>
    </row>
    <row r="87" spans="1:5" x14ac:dyDescent="0.15">
      <c r="A87" s="91" t="s">
        <v>427</v>
      </c>
      <c r="B87" s="102">
        <f>IF(OR(B86="J",B86="Y"),$B$5*B85*B82,0)</f>
        <v>0</v>
      </c>
    </row>
    <row r="89" spans="1:5" x14ac:dyDescent="0.15">
      <c r="A89" s="91" t="s">
        <v>433</v>
      </c>
    </row>
    <row r="90" spans="1:5" x14ac:dyDescent="0.15">
      <c r="A90" s="171" t="s">
        <v>437</v>
      </c>
      <c r="C90" s="104">
        <f>Calculatie!C54+C55</f>
        <v>94020.017952392445</v>
      </c>
      <c r="D90" s="104">
        <f>D54+D55</f>
        <v>6218.2551555815107</v>
      </c>
    </row>
    <row r="91" spans="1:5" x14ac:dyDescent="0.15">
      <c r="A91" s="171" t="s">
        <v>438</v>
      </c>
      <c r="C91" s="102">
        <f>C90*0.0036</f>
        <v>338.47206462861277</v>
      </c>
      <c r="D91" s="102">
        <f>(D90*Parameters!$B$56)/1000</f>
        <v>746.81244418533936</v>
      </c>
      <c r="E91" s="90" t="s">
        <v>439</v>
      </c>
    </row>
    <row r="92" spans="1:5" x14ac:dyDescent="0.15">
      <c r="A92" s="171" t="s">
        <v>57</v>
      </c>
      <c r="C92" s="162">
        <f>IF(OR($B$6="Groen",$B$6="Green"),1,Parameters!$B$54)</f>
        <v>1</v>
      </c>
      <c r="D92" s="162">
        <f>IF(OR($B$7="Electrolysis (renewable energy)",$B$7="Electrolyse (hernieuwbare energie)"),1,0)</f>
        <v>1</v>
      </c>
      <c r="E92" s="90" t="s">
        <v>440</v>
      </c>
    </row>
    <row r="93" spans="1:5" x14ac:dyDescent="0.15">
      <c r="A93" s="171" t="s">
        <v>441</v>
      </c>
      <c r="C93" s="102">
        <f>C92*C91</f>
        <v>338.47206462861277</v>
      </c>
      <c r="D93" s="102">
        <f>D92*D91</f>
        <v>746.81244418533936</v>
      </c>
    </row>
    <row r="94" spans="1:5" x14ac:dyDescent="0.15">
      <c r="A94" s="171" t="s">
        <v>442</v>
      </c>
      <c r="C94" s="104">
        <f>Parameters!B52</f>
        <v>4</v>
      </c>
      <c r="D94" s="104">
        <f>Parameters!B53</f>
        <v>2.5</v>
      </c>
    </row>
    <row r="95" spans="1:5" x14ac:dyDescent="0.15">
      <c r="A95" s="171" t="s">
        <v>444</v>
      </c>
      <c r="C95" s="102">
        <f>C93*C94</f>
        <v>1353.8882585144511</v>
      </c>
      <c r="D95" s="102">
        <f>D93*D94</f>
        <v>1867.0311104633483</v>
      </c>
    </row>
    <row r="96" spans="1:5" x14ac:dyDescent="0.15">
      <c r="A96" s="171" t="s">
        <v>443</v>
      </c>
      <c r="C96" s="102">
        <f>ROUNDDOWN(C95,0)</f>
        <v>1353</v>
      </c>
      <c r="D96" s="102">
        <f>ROUNDDOWN(D95,0)</f>
        <v>1867</v>
      </c>
      <c r="E96" s="90" t="s">
        <v>445</v>
      </c>
    </row>
    <row r="98" spans="1:4" x14ac:dyDescent="0.15">
      <c r="A98" s="171" t="s">
        <v>486</v>
      </c>
    </row>
    <row r="99" spans="1:4" x14ac:dyDescent="0.15">
      <c r="A99" s="175" t="s">
        <v>487</v>
      </c>
      <c r="C99" s="101">
        <f>'M1-PowerSupply'!B35</f>
        <v>50</v>
      </c>
    </row>
    <row r="100" spans="1:4" x14ac:dyDescent="0.15">
      <c r="A100" s="175" t="s">
        <v>488</v>
      </c>
      <c r="C100" s="101">
        <f>IF(ISNUMBER(charge_power_input),charge_power_input,"")</f>
        <v>50</v>
      </c>
    </row>
    <row r="101" spans="1:4" x14ac:dyDescent="0.15">
      <c r="A101" s="171" t="s">
        <v>489</v>
      </c>
      <c r="C101" s="102">
        <f>IF(C100&lt;&gt;"",C100,C99)</f>
        <v>50</v>
      </c>
    </row>
    <row r="104" spans="1:4" x14ac:dyDescent="0.15">
      <c r="A104" s="91" t="s">
        <v>672</v>
      </c>
    </row>
    <row r="105" spans="1:4" x14ac:dyDescent="0.15">
      <c r="A105" s="90" t="s">
        <v>673</v>
      </c>
      <c r="B105" s="117">
        <f>INDEX(VehicleCatalogus[[#All],[Jaarlijkse reparaties]],MATCH(Calculatie!$B$28,VehicleCatalogus[[#All],[Name]],0))</f>
        <v>1000</v>
      </c>
      <c r="C105" s="117">
        <f>INDEX(VehicleCatalogus[[#All],[Jaarlijkse reparaties]],MATCH(Calculatie!$C$28,VehicleCatalogus[[#All],[Name]],0))</f>
        <v>1000</v>
      </c>
      <c r="D105" s="117">
        <f>INDEX(VehicleCatalogus[[#All],[Jaarlijkse reparaties]],MATCH(Calculatie!$D$28,VehicleCatalogus[[#All],[Name]],0))</f>
        <v>3000</v>
      </c>
    </row>
    <row r="106" spans="1:4" x14ac:dyDescent="0.15">
      <c r="A106" s="90" t="s">
        <v>674</v>
      </c>
      <c r="B106" s="423">
        <f>DV_reparaties</f>
        <v>1000</v>
      </c>
      <c r="C106" s="423">
        <f>EV_reparaties</f>
        <v>1000</v>
      </c>
      <c r="D106" s="423">
        <f>FC_reparaties</f>
        <v>3000</v>
      </c>
    </row>
    <row r="107" spans="1:4" x14ac:dyDescent="0.15">
      <c r="A107" s="91" t="s">
        <v>675</v>
      </c>
      <c r="B107" s="117">
        <f>IF(B106&lt;&gt;"",B106,B105)</f>
        <v>1000</v>
      </c>
      <c r="C107" s="117">
        <f t="shared" ref="C107:D107" si="3">IF(C106&lt;&gt;"",C106,C105)</f>
        <v>1000</v>
      </c>
      <c r="D107" s="117">
        <f t="shared" si="3"/>
        <v>3000</v>
      </c>
    </row>
  </sheetData>
  <pageMargins left="0.7" right="0.7" top="0.75" bottom="0.75" header="0.3" footer="0.3"/>
  <pageSetup paperSize="0" orientation="portrait" horizontalDpi="0" verticalDpi="0" copies="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0" tint="-0.499984740745262"/>
  </sheetPr>
  <dimension ref="A1:H57"/>
  <sheetViews>
    <sheetView workbookViewId="0"/>
  </sheetViews>
  <sheetFormatPr defaultRowHeight="10.5" x14ac:dyDescent="0.15"/>
  <cols>
    <col min="1" max="1" width="27.7109375" customWidth="1"/>
    <col min="2" max="2" width="16.42578125" bestFit="1" customWidth="1"/>
    <col min="3" max="3" width="24.28515625" bestFit="1" customWidth="1"/>
    <col min="4" max="4" width="22.28515625" bestFit="1" customWidth="1"/>
  </cols>
  <sheetData>
    <row r="1" spans="1:8" x14ac:dyDescent="0.15">
      <c r="A1" s="91" t="s">
        <v>188</v>
      </c>
    </row>
    <row r="2" spans="1:8" x14ac:dyDescent="0.15">
      <c r="A2" t="s">
        <v>185</v>
      </c>
      <c r="B2" t="str">
        <f>Calculatie!B2</f>
        <v>Grote bakwagen</v>
      </c>
    </row>
    <row r="3" spans="1:8" x14ac:dyDescent="0.15">
      <c r="A3" t="s">
        <v>186</v>
      </c>
      <c r="B3">
        <f>INDEX(VehicleCatalogus[#All],MATCH('M1-PowerSupply'!$B$2,VehicleCatalogus[[#All],[Veh. Type]],0),3)</f>
        <v>3</v>
      </c>
    </row>
    <row r="4" spans="1:8" x14ac:dyDescent="0.15">
      <c r="A4" t="s">
        <v>14</v>
      </c>
      <c r="B4" t="str">
        <f>Calculatie!B4</f>
        <v>niet gekoeld</v>
      </c>
    </row>
    <row r="5" spans="1:8" x14ac:dyDescent="0.15">
      <c r="A5" t="s">
        <v>187</v>
      </c>
      <c r="B5" s="95">
        <f>Calculatie!B19</f>
        <v>269.23076923076923</v>
      </c>
      <c r="H5" t="s">
        <v>210</v>
      </c>
    </row>
    <row r="6" spans="1:8" x14ac:dyDescent="0.15">
      <c r="A6" t="s">
        <v>162</v>
      </c>
      <c r="B6" s="89">
        <f>Calculatie!B18</f>
        <v>10</v>
      </c>
      <c r="H6" t="s">
        <v>211</v>
      </c>
    </row>
    <row r="7" spans="1:8" x14ac:dyDescent="0.15">
      <c r="H7" t="s">
        <v>212</v>
      </c>
    </row>
    <row r="8" spans="1:8" x14ac:dyDescent="0.15">
      <c r="B8" t="s">
        <v>9</v>
      </c>
      <c r="C8" t="s">
        <v>10</v>
      </c>
      <c r="D8" t="s">
        <v>11</v>
      </c>
      <c r="H8" t="s">
        <v>213</v>
      </c>
    </row>
    <row r="9" spans="1:8" x14ac:dyDescent="0.15">
      <c r="B9" t="s">
        <v>177</v>
      </c>
      <c r="C9" t="s">
        <v>179</v>
      </c>
      <c r="D9" t="s">
        <v>182</v>
      </c>
      <c r="H9" t="s">
        <v>214</v>
      </c>
    </row>
    <row r="10" spans="1:8" x14ac:dyDescent="0.15">
      <c r="A10" t="s">
        <v>198</v>
      </c>
      <c r="B10" s="94">
        <f>SUMIFS(VehicleCatalogus[[#All],[Energy/fuel consumption L; kWh; kg H2]],VehicleCatalogus[[#All],[Veh. Type ID]],'M1-PowerSupply'!$B$3,VehicleCatalogus[[#All],[Fuel]],'M1-PowerSupply'!$B$9,VehicleCatalogus[[#All],[Variant ID]],1)</f>
        <v>0.28541791164119135</v>
      </c>
      <c r="C10" s="94">
        <f>SUMIFS(VehicleCatalogus[[#All],[Energy/fuel consumption L; kWh; kg H2]],VehicleCatalogus[[#All],[Veh. Type ID]],'M1-PowerSupply'!$B$3,VehicleCatalogus[[#All],[Fuel]],'M1-PowerSupply'!$C$9,VehicleCatalogus[[#All],[Variant ID]],1)</f>
        <v>1.3431431136056065</v>
      </c>
      <c r="D10" s="94">
        <f>SUMIFS(VehicleCatalogus[[#All],[Energy/fuel consumption L; kWh; kg H2]],VehicleCatalogus[[#All],[Veh. Type ID]],'M1-PowerSupply'!$B$3,VehicleCatalogus[[#All],[Fuel]],'M1-PowerSupply'!$D$9,VehicleCatalogus[[#All],[Variant ID]],1)</f>
        <v>8.8832216508307291E-2</v>
      </c>
    </row>
    <row r="11" spans="1:8" x14ac:dyDescent="0.15">
      <c r="A11" t="s">
        <v>197</v>
      </c>
      <c r="B11" s="94">
        <f>IF(B4="gekoeld",SUMIFS(VehicleCatalogus[[#All],[Refrigeration energy/fuel consumption L; kWh; kg H2]],VehicleCatalogus[[#All],[Veh. Type ID]],'M1-PowerSupply'!$B$3,VehicleCatalogus[[#All],[Fuel]],'M1-PowerSupply'!$B$9,VehicleCatalogus[[#All],[Variant ID]],1),0)</f>
        <v>0</v>
      </c>
      <c r="C11" s="94">
        <f>IF(B4="gekoeld",SUMIFS(VehicleCatalogus[[#All],[Refrigeration energy/fuel consumption L; kWh; kg H2]],VehicleCatalogus[[#All],[Veh. Type ID]],'M1-PowerSupply'!$B$3,VehicleCatalogus[[#All],[Fuel]],'M1-PowerSupply'!$C$9,VehicleCatalogus[[#All],[Variant ID]],1),0)</f>
        <v>0</v>
      </c>
      <c r="D11" s="94">
        <f>IF(B4="gekoeld",SUMIFS(VehicleCatalogus[[#All],[Refrigeration energy/fuel consumption L; kWh; kg H2]],VehicleCatalogus[[#All],[Veh. Type ID]],'M1-PowerSupply'!$B$3,VehicleCatalogus[[#All],[Fuel]],'M1-PowerSupply'!$D$9,VehicleCatalogus[[#All],[Variant ID]],1),0)</f>
        <v>0</v>
      </c>
    </row>
    <row r="12" spans="1:8" x14ac:dyDescent="0.15">
      <c r="A12" s="96" t="s">
        <v>193</v>
      </c>
      <c r="B12" s="97" t="s">
        <v>194</v>
      </c>
      <c r="C12" s="97" t="s">
        <v>195</v>
      </c>
      <c r="D12" s="97" t="s">
        <v>196</v>
      </c>
    </row>
    <row r="14" spans="1:8" x14ac:dyDescent="0.15">
      <c r="A14" t="s">
        <v>199</v>
      </c>
      <c r="B14" s="522">
        <f>(B10*$B$5)+(B11*$B$6*Parameters!$B$19)</f>
        <v>76.843283903397662</v>
      </c>
      <c r="C14" s="522">
        <f>(C10*$B$5)+(C11*$B$6*Parameters!$B$19)</f>
        <v>361.6154536630479</v>
      </c>
      <c r="D14" s="522">
        <f>(D10*$B$5)+(D11*$B$6*Parameters!$B$19)</f>
        <v>23.916365983005807</v>
      </c>
    </row>
    <row r="16" spans="1:8" x14ac:dyDescent="0.15">
      <c r="A16" t="s">
        <v>215</v>
      </c>
      <c r="B16" t="s">
        <v>204</v>
      </c>
      <c r="C16" s="98">
        <f>Parameters!$B$18</f>
        <v>0.2</v>
      </c>
      <c r="D16" t="s">
        <v>204</v>
      </c>
    </row>
    <row r="17" spans="1:6" x14ac:dyDescent="0.15">
      <c r="A17" t="s">
        <v>200</v>
      </c>
      <c r="B17" t="s">
        <v>204</v>
      </c>
      <c r="C17">
        <f>IF(C14/(1-C16)&gt;$B$24,$B$24,INDEX($B$24:$B$27,MATCH(C14/(1-C16),$B$24:$B$27,-1)))</f>
        <v>260</v>
      </c>
      <c r="D17" t="s">
        <v>204</v>
      </c>
    </row>
    <row r="18" spans="1:6" x14ac:dyDescent="0.15">
      <c r="A18" t="s">
        <v>201</v>
      </c>
      <c r="B18">
        <v>1</v>
      </c>
      <c r="C18">
        <f>INDEX(A24:A26,MATCH(C17,B24:B26,0))</f>
        <v>4</v>
      </c>
      <c r="D18">
        <v>1</v>
      </c>
    </row>
    <row r="19" spans="1:6" x14ac:dyDescent="0.15">
      <c r="A19" s="90" t="s">
        <v>203</v>
      </c>
      <c r="B19" s="90">
        <f>SUMIFS(VehicleCatalogus[[#All],[ID]],VehicleCatalogus[[#All],[Fuel]],B$9,VehicleCatalogus[[#All],[Veh. Type ID]],$B$3,VehicleCatalogus[[#All],[Variant ID]],B$18)</f>
        <v>3</v>
      </c>
      <c r="C19" s="90">
        <f>SUMIFS(VehicleCatalogus[[#All],[ID]],VehicleCatalogus[[#All],[Fuel]],C$9,VehicleCatalogus[[#All],[Veh. Type ID]],$B$3,VehicleCatalogus[[#All],[Variant ID]],C$18)</f>
        <v>17</v>
      </c>
      <c r="D19" s="90">
        <f>SUMIFS(VehicleCatalogus[[#All],[ID]],VehicleCatalogus[[#All],[Fuel]],D$9,VehicleCatalogus[[#All],[Veh. Type ID]],$B$3,VehicleCatalogus[[#All],[Variant ID]],D$18)</f>
        <v>28</v>
      </c>
    </row>
    <row r="20" spans="1:6" x14ac:dyDescent="0.15">
      <c r="A20" s="90" t="s">
        <v>202</v>
      </c>
      <c r="B20" s="90" t="str">
        <f>INDEX(VehicleCatalogus[#All],MATCH(B19,VehicleCatalogus[[#All],[ID]],0),6)</f>
        <v>Grote bakwagen</v>
      </c>
      <c r="C20" s="90" t="str">
        <f>INDEX(VehicleCatalogus[#All],MATCH(C19,VehicleCatalogus[[#All],[ID]],0),6)</f>
        <v>Grote bakwagen 260 kWh</v>
      </c>
      <c r="D20" s="90" t="str">
        <f>INDEX(VehicleCatalogus[#All],MATCH(D19,VehicleCatalogus[[#All],[ID]],0),6)</f>
        <v>Grote bakwagen 45 kW</v>
      </c>
    </row>
    <row r="22" spans="1:6" x14ac:dyDescent="0.15">
      <c r="E22">
        <v>0</v>
      </c>
      <c r="F22">
        <v>0</v>
      </c>
    </row>
    <row r="23" spans="1:6" x14ac:dyDescent="0.15">
      <c r="A23" t="s">
        <v>225</v>
      </c>
      <c r="D23" t="s">
        <v>226</v>
      </c>
    </row>
    <row r="24" spans="1:6" x14ac:dyDescent="0.15">
      <c r="A24">
        <v>4</v>
      </c>
      <c r="B24">
        <f>SUMIFS(VehicleCatalogus[[#All],[Battery size]],VehicleCatalogus[[#All],[Fuel]],"EV",VehicleCatalogus[[#All],[Veh. Type ID]],$B$3,VehicleCatalogus[[#All],[Variant ID]],$A24)</f>
        <v>260</v>
      </c>
      <c r="D24" s="98">
        <v>1</v>
      </c>
      <c r="E24">
        <f>INDEX(VehicleCatalogus[#All],MATCH(D19,VehicleCatalogus[[#All],[ID]],0),14)</f>
        <v>140</v>
      </c>
      <c r="F24">
        <f>INDEX(VehicleCatalogus[#All],MATCH(D19,VehicleCatalogus[[#All],[ID]],0),16)</f>
        <v>20</v>
      </c>
    </row>
    <row r="25" spans="1:6" x14ac:dyDescent="0.15">
      <c r="A25">
        <v>3</v>
      </c>
      <c r="B25">
        <f>SUMIFS(VehicleCatalogus[[#All],[Battery size]],VehicleCatalogus[[#All],[Fuel]],"EV",VehicleCatalogus[[#All],[Veh. Type ID]],$B$3,VehicleCatalogus[[#All],[Variant ID]],$A25)</f>
        <v>200</v>
      </c>
      <c r="D25" s="98">
        <v>1.25</v>
      </c>
      <c r="E25">
        <f>ROUNDUP(E$24*$D25,E$22)</f>
        <v>175</v>
      </c>
      <c r="F25">
        <f>ROUNDUP(F$24*$D25,F$22)</f>
        <v>25</v>
      </c>
    </row>
    <row r="26" spans="1:6" x14ac:dyDescent="0.15">
      <c r="A26">
        <v>2</v>
      </c>
      <c r="B26">
        <f>SUMIFS(VehicleCatalogus[[#All],[Battery size]],VehicleCatalogus[[#All],[Fuel]],"EV",VehicleCatalogus[[#All],[Veh. Type ID]],$B$3,VehicleCatalogus[[#All],[Variant ID]],$A26)</f>
        <v>180</v>
      </c>
      <c r="D26" s="98">
        <v>1.5</v>
      </c>
      <c r="E26">
        <f>ROUNDUP(E$24*$D26,E$22)</f>
        <v>210</v>
      </c>
      <c r="F26">
        <f>ROUNDUP(F$24*$D26,F$22)</f>
        <v>30</v>
      </c>
    </row>
    <row r="27" spans="1:6" x14ac:dyDescent="0.15">
      <c r="A27">
        <v>1</v>
      </c>
      <c r="B27">
        <f>SUMIFS(VehicleCatalogus[[#All],[Battery size]],VehicleCatalogus[[#All],[Fuel]],"EV",VehicleCatalogus[[#All],[Veh. Type ID]],$B$3,VehicleCatalogus[[#All],[Variant ID]],$A27)</f>
        <v>160</v>
      </c>
    </row>
    <row r="29" spans="1:6" x14ac:dyDescent="0.15">
      <c r="A29" s="91" t="s">
        <v>354</v>
      </c>
    </row>
    <row r="30" spans="1:6" x14ac:dyDescent="0.15">
      <c r="A30" t="s">
        <v>278</v>
      </c>
      <c r="B30">
        <f>Calculatie!C20</f>
        <v>8</v>
      </c>
    </row>
    <row r="31" spans="1:6" x14ac:dyDescent="0.15">
      <c r="A31" t="s">
        <v>274</v>
      </c>
      <c r="B31" s="98">
        <v>0.8</v>
      </c>
      <c r="C31" s="90" t="s">
        <v>279</v>
      </c>
    </row>
    <row r="32" spans="1:6" x14ac:dyDescent="0.15">
      <c r="A32" t="s">
        <v>362</v>
      </c>
      <c r="B32" s="132">
        <f>Calculatie!C26</f>
        <v>260</v>
      </c>
      <c r="C32" s="90" t="s">
        <v>235</v>
      </c>
    </row>
    <row r="33" spans="1:3" x14ac:dyDescent="0.15">
      <c r="A33" t="s">
        <v>275</v>
      </c>
      <c r="B33">
        <f>B32*'M1-PowerSupply'!B31</f>
        <v>208</v>
      </c>
    </row>
    <row r="34" spans="1:3" x14ac:dyDescent="0.15">
      <c r="A34" t="s">
        <v>276</v>
      </c>
      <c r="B34">
        <f>B33/B30</f>
        <v>26</v>
      </c>
    </row>
    <row r="35" spans="1:3" x14ac:dyDescent="0.15">
      <c r="A35" t="s">
        <v>277</v>
      </c>
      <c r="B35">
        <f>IF(B34&gt;=MAX(Laadinfra[Power (kW)]),MAX(Laadinfra[Power (kW)]),INDEX(Laadinfra[Power (kW)],MATCH('M1-PowerSupply'!B34,Laadinfra[Power (kW)],-1)))</f>
        <v>50</v>
      </c>
    </row>
    <row r="36" spans="1:3" x14ac:dyDescent="0.15">
      <c r="A36" t="s">
        <v>285</v>
      </c>
      <c r="B36">
        <f>Calculatie!C22</f>
        <v>50</v>
      </c>
      <c r="C36" s="90" t="s">
        <v>235</v>
      </c>
    </row>
    <row r="37" spans="1:3" x14ac:dyDescent="0.15">
      <c r="A37" t="s">
        <v>283</v>
      </c>
      <c r="B37">
        <f>INDEX(Laadinfra[Index],MATCH('M1-PowerSupply'!B36,Laadinfra[Power (kW)],0))</f>
        <v>3</v>
      </c>
    </row>
    <row r="38" spans="1:3" x14ac:dyDescent="0.15">
      <c r="A38" t="s">
        <v>284</v>
      </c>
      <c r="B38" t="str">
        <f>INDEX(Laadinfra[Charging type],MATCH('M1-PowerSupply'!B36,Laadinfra[Power (kW)],0))</f>
        <v>FC50</v>
      </c>
    </row>
    <row r="40" spans="1:3" x14ac:dyDescent="0.15">
      <c r="A40" t="s">
        <v>355</v>
      </c>
      <c r="B40">
        <f>MIN(B33,INDEX(Laadinfra[[#All],[Depth of discharge (%)]],MATCH('M1-PowerSupply'!B36,Laadinfra[[#All],[Power (kW)]],0))*B32)</f>
        <v>182</v>
      </c>
    </row>
    <row r="41" spans="1:3" x14ac:dyDescent="0.15">
      <c r="A41" t="s">
        <v>356</v>
      </c>
      <c r="B41">
        <f>MIN(B40,C14)</f>
        <v>182</v>
      </c>
    </row>
    <row r="43" spans="1:3" x14ac:dyDescent="0.15">
      <c r="A43" s="91" t="s">
        <v>353</v>
      </c>
    </row>
    <row r="44" spans="1:3" x14ac:dyDescent="0.15">
      <c r="A44" t="s">
        <v>366</v>
      </c>
      <c r="B44">
        <f>C14-B41</f>
        <v>179.6154536630479</v>
      </c>
    </row>
    <row r="45" spans="1:3" x14ac:dyDescent="0.15">
      <c r="A45" t="s">
        <v>367</v>
      </c>
      <c r="B45">
        <f>Parameters!$B$3</f>
        <v>1</v>
      </c>
    </row>
    <row r="46" spans="1:3" x14ac:dyDescent="0.15">
      <c r="A46" t="s">
        <v>368</v>
      </c>
      <c r="B46">
        <f>Parameters!$B$4</f>
        <v>1</v>
      </c>
    </row>
    <row r="47" spans="1:3" x14ac:dyDescent="0.15">
      <c r="A47" t="s">
        <v>276</v>
      </c>
      <c r="B47">
        <f>B44/(B45*B46)</f>
        <v>179.6154536630479</v>
      </c>
    </row>
    <row r="48" spans="1:3" x14ac:dyDescent="0.15">
      <c r="A48" t="s">
        <v>369</v>
      </c>
      <c r="B48">
        <f>IF(B47&gt;=MAX(Laadinfra8[[#All],[Power (kW)]]),MAX(Laadinfra8[[#All],[Power (kW)]]),INDEX(Laadinfra8[[#All],[Power (kW)]],MATCH('M1-PowerSupply'!B47,Laadinfra8[[#All],[Power (kW)]],-1)))</f>
        <v>350</v>
      </c>
    </row>
    <row r="49" spans="1:3" x14ac:dyDescent="0.15">
      <c r="A49" t="s">
        <v>370</v>
      </c>
      <c r="B49" t="str">
        <f>INDEX(Laadinfra8[[#All],[Charging type]],MATCH('M1-PowerSupply'!B48,Laadinfra8[[#All],[Power (kW)]],0))</f>
        <v>HPC350</v>
      </c>
    </row>
    <row r="50" spans="1:3" x14ac:dyDescent="0.15">
      <c r="A50" t="s">
        <v>371</v>
      </c>
      <c r="B50">
        <f>INDEX(Laadinfra8[[#All],[Index]],MATCH('M1-PowerSupply'!B48,Laadinfra8[[#All],[Power (kW)]],0))</f>
        <v>5</v>
      </c>
    </row>
    <row r="51" spans="1:3" x14ac:dyDescent="0.15">
      <c r="A51" t="s">
        <v>382</v>
      </c>
      <c r="B51">
        <f>MIN(INDEX(Laadinfra8[[#All],[Depth of discharge (%)]],MATCH('M1-PowerSupply'!B49,Laadinfra8[[#All],[Charging type]],0))*B32*B46,B44,B48*B45)</f>
        <v>179.6154536630479</v>
      </c>
    </row>
    <row r="52" spans="1:3" x14ac:dyDescent="0.15">
      <c r="A52" t="s">
        <v>432</v>
      </c>
      <c r="B52">
        <f>B44/B48</f>
        <v>0.51318701046585113</v>
      </c>
    </row>
    <row r="54" spans="1:3" x14ac:dyDescent="0.15">
      <c r="A54" s="91" t="s">
        <v>374</v>
      </c>
    </row>
    <row r="55" spans="1:3" x14ac:dyDescent="0.15">
      <c r="A55" t="s">
        <v>375</v>
      </c>
      <c r="B55" t="str">
        <f>IF(B33/B36&gt;B30,"Invalide","Valide")</f>
        <v>Valide</v>
      </c>
      <c r="C55" t="s">
        <v>376</v>
      </c>
    </row>
    <row r="56" spans="1:3" x14ac:dyDescent="0.15">
      <c r="A56" t="s">
        <v>377</v>
      </c>
      <c r="B56" t="str">
        <f>IF(B44/B48&gt;B45,"Invalide","Valide")</f>
        <v>Valide</v>
      </c>
      <c r="C56" t="s">
        <v>379</v>
      </c>
    </row>
    <row r="57" spans="1:3" x14ac:dyDescent="0.15">
      <c r="A57" t="s">
        <v>378</v>
      </c>
      <c r="B57" t="str">
        <f>IF(B44&lt;=INDEX(Laadinfra8[[#All],[Depth of discharge (%)]],MATCH('M1-PowerSupply'!B49,Laadinfra8[[#All],[Charging type]],0))*B32*B46,"Valide","Invalide")</f>
        <v>Valide</v>
      </c>
      <c r="C57" t="s">
        <v>380</v>
      </c>
    </row>
  </sheetData>
  <pageMargins left="0.7" right="0.7" top="0.75" bottom="0.75" header="0.3" footer="0.3"/>
  <pageSetup paperSize="0" orientation="portrait" horizontalDpi="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0" tint="-0.499984740745262"/>
  </sheetPr>
  <dimension ref="A1:K57"/>
  <sheetViews>
    <sheetView workbookViewId="0">
      <selection activeCell="E34" sqref="E34"/>
    </sheetView>
  </sheetViews>
  <sheetFormatPr defaultRowHeight="10.5" x14ac:dyDescent="0.15"/>
  <cols>
    <col min="1" max="1" width="40.28515625" customWidth="1"/>
    <col min="2" max="2" width="19.140625" customWidth="1"/>
    <col min="3" max="3" width="18.140625" customWidth="1"/>
    <col min="4" max="4" width="24.85546875" customWidth="1"/>
    <col min="5" max="5" width="24" customWidth="1"/>
    <col min="6" max="6" width="18.42578125" customWidth="1"/>
    <col min="7" max="7" width="3.85546875" customWidth="1"/>
    <col min="8" max="8" width="19.140625" customWidth="1"/>
    <col min="9" max="9" width="17.140625" customWidth="1"/>
    <col min="10" max="10" width="17.28515625" bestFit="1" customWidth="1"/>
    <col min="11" max="11" width="16.140625" customWidth="1"/>
    <col min="12" max="12" width="26.85546875" bestFit="1" customWidth="1"/>
    <col min="13" max="13" width="41.140625" bestFit="1" customWidth="1"/>
  </cols>
  <sheetData>
    <row r="1" spans="1:11" x14ac:dyDescent="0.15">
      <c r="A1" s="91" t="s">
        <v>289</v>
      </c>
    </row>
    <row r="2" spans="1:11" x14ac:dyDescent="0.15">
      <c r="A2" s="90" t="s">
        <v>294</v>
      </c>
    </row>
    <row r="3" spans="1:11" ht="24.75" customHeight="1" x14ac:dyDescent="0.15">
      <c r="A3" t="s">
        <v>290</v>
      </c>
      <c r="B3" s="93" t="s">
        <v>291</v>
      </c>
      <c r="C3" t="s">
        <v>292</v>
      </c>
      <c r="H3" s="90" t="s">
        <v>299</v>
      </c>
    </row>
    <row r="4" spans="1:11" x14ac:dyDescent="0.15">
      <c r="A4" s="419" t="str">
        <f>+Config!B188</f>
        <v>Groot</v>
      </c>
      <c r="B4" s="98">
        <v>0.4</v>
      </c>
      <c r="C4" s="119" t="s">
        <v>665</v>
      </c>
      <c r="H4" t="s">
        <v>293</v>
      </c>
      <c r="I4" t="s">
        <v>290</v>
      </c>
      <c r="J4" t="s">
        <v>312</v>
      </c>
      <c r="K4" t="s">
        <v>313</v>
      </c>
    </row>
    <row r="5" spans="1:11" x14ac:dyDescent="0.15">
      <c r="A5" s="419" t="str">
        <f>+Config!B183</f>
        <v>Middelgroot</v>
      </c>
      <c r="B5" s="98">
        <v>0.5</v>
      </c>
      <c r="C5" s="119" t="s">
        <v>666</v>
      </c>
      <c r="H5" t="s">
        <v>296</v>
      </c>
      <c r="I5" t="str">
        <f>+Config!B188</f>
        <v>Groot</v>
      </c>
      <c r="J5" s="98">
        <v>0.125</v>
      </c>
      <c r="K5" s="88">
        <v>17800</v>
      </c>
    </row>
    <row r="6" spans="1:11" x14ac:dyDescent="0.15">
      <c r="A6" s="419" t="str">
        <f>+Config!B184</f>
        <v>Klein</v>
      </c>
      <c r="B6" s="98">
        <v>0.6</v>
      </c>
      <c r="C6" s="119" t="s">
        <v>667</v>
      </c>
      <c r="H6" t="s">
        <v>297</v>
      </c>
      <c r="I6" t="str">
        <f>+Config!B188</f>
        <v>Groot</v>
      </c>
      <c r="J6" s="98">
        <v>0.2</v>
      </c>
      <c r="K6" s="88">
        <v>43600</v>
      </c>
    </row>
    <row r="7" spans="1:11" x14ac:dyDescent="0.15">
      <c r="H7" t="s">
        <v>298</v>
      </c>
      <c r="I7" t="str">
        <f>+Config!B188</f>
        <v>Groot</v>
      </c>
      <c r="J7" s="98">
        <v>0.2</v>
      </c>
      <c r="K7" s="88">
        <v>72700</v>
      </c>
    </row>
    <row r="8" spans="1:11" x14ac:dyDescent="0.15">
      <c r="A8" s="90" t="s">
        <v>295</v>
      </c>
      <c r="H8" t="s">
        <v>296</v>
      </c>
      <c r="I8" t="str">
        <f>+Config!B183</f>
        <v>Middelgroot</v>
      </c>
      <c r="J8" s="98">
        <v>0.19</v>
      </c>
      <c r="K8" s="88">
        <v>26800</v>
      </c>
    </row>
    <row r="9" spans="1:11" x14ac:dyDescent="0.15">
      <c r="A9" t="s">
        <v>12</v>
      </c>
      <c r="B9" t="s">
        <v>293</v>
      </c>
      <c r="D9" t="s">
        <v>306</v>
      </c>
      <c r="E9" t="s">
        <v>308</v>
      </c>
      <c r="F9" t="s">
        <v>321</v>
      </c>
      <c r="H9" t="s">
        <v>297</v>
      </c>
      <c r="I9" t="str">
        <f>+Config!B183</f>
        <v>Middelgroot</v>
      </c>
      <c r="J9" s="98">
        <v>0.215</v>
      </c>
      <c r="K9" s="88">
        <v>63700</v>
      </c>
    </row>
    <row r="10" spans="1:11" x14ac:dyDescent="0.15">
      <c r="A10" t="str">
        <f>+Config!B190</f>
        <v>Kleine bakwagen</v>
      </c>
      <c r="B10" t="s">
        <v>296</v>
      </c>
      <c r="D10">
        <v>2021</v>
      </c>
      <c r="E10" s="122">
        <v>0.36</v>
      </c>
      <c r="F10" s="88">
        <v>2500</v>
      </c>
      <c r="H10" t="s">
        <v>298</v>
      </c>
      <c r="I10" t="str">
        <f>+Config!B183</f>
        <v>Middelgroot</v>
      </c>
      <c r="J10" s="98">
        <v>0.28499999999999998</v>
      </c>
      <c r="K10" s="88">
        <v>102300</v>
      </c>
    </row>
    <row r="11" spans="1:11" x14ac:dyDescent="0.15">
      <c r="A11" t="str">
        <f>+Config!B191</f>
        <v>Medium bakwagen</v>
      </c>
      <c r="B11" t="s">
        <v>297</v>
      </c>
      <c r="D11">
        <v>2022</v>
      </c>
      <c r="E11" s="122">
        <v>0.45</v>
      </c>
      <c r="F11" s="88">
        <v>2500</v>
      </c>
      <c r="H11" t="s">
        <v>296</v>
      </c>
      <c r="I11" t="str">
        <f>+Config!B184</f>
        <v>Klein</v>
      </c>
      <c r="J11" s="98">
        <v>0.25</v>
      </c>
      <c r="K11" s="88">
        <v>35700</v>
      </c>
    </row>
    <row r="12" spans="1:11" x14ac:dyDescent="0.15">
      <c r="A12" t="str">
        <f>+Config!B192</f>
        <v>Grote bakwagen</v>
      </c>
      <c r="B12" t="s">
        <v>297</v>
      </c>
      <c r="H12" t="s">
        <v>297</v>
      </c>
      <c r="I12" t="str">
        <f>+Config!B184</f>
        <v>Klein</v>
      </c>
      <c r="J12" s="98">
        <v>0.28499999999999998</v>
      </c>
      <c r="K12" s="88">
        <v>84000</v>
      </c>
    </row>
    <row r="13" spans="1:11" x14ac:dyDescent="0.15">
      <c r="A13" t="str">
        <f>+Config!B193</f>
        <v>Lichte trekker z/opl</v>
      </c>
      <c r="B13" t="s">
        <v>298</v>
      </c>
      <c r="H13" t="s">
        <v>298</v>
      </c>
      <c r="I13" t="str">
        <f>+Config!B184</f>
        <v>Klein</v>
      </c>
      <c r="J13" s="98">
        <v>0.37</v>
      </c>
      <c r="K13" s="88">
        <v>131900</v>
      </c>
    </row>
    <row r="14" spans="1:11" x14ac:dyDescent="0.15">
      <c r="A14" t="str">
        <f>+Config!B194</f>
        <v>Zware trekker z/opl</v>
      </c>
      <c r="B14" t="s">
        <v>298</v>
      </c>
    </row>
    <row r="16" spans="1:11" x14ac:dyDescent="0.15">
      <c r="A16" t="s">
        <v>300</v>
      </c>
      <c r="B16" t="s">
        <v>301</v>
      </c>
      <c r="C16" t="s">
        <v>302</v>
      </c>
      <c r="D16" t="s">
        <v>303</v>
      </c>
    </row>
    <row r="17" spans="1:8" x14ac:dyDescent="0.15">
      <c r="A17" t="str">
        <f>+Config!B187</f>
        <v>BV of NV met 15% belasting</v>
      </c>
      <c r="B17" s="121">
        <v>0.15</v>
      </c>
      <c r="C17" s="92">
        <v>395000</v>
      </c>
      <c r="D17" s="92">
        <v>395000</v>
      </c>
      <c r="E17" s="88"/>
      <c r="F17" s="98"/>
      <c r="G17" s="98"/>
      <c r="H17" s="88"/>
    </row>
    <row r="18" spans="1:8" x14ac:dyDescent="0.15">
      <c r="A18" t="str">
        <f>+Config!B180</f>
        <v>BV of NV met 25,8% belasting</v>
      </c>
      <c r="B18" s="121">
        <v>0.25800000000000001</v>
      </c>
      <c r="C18" s="92"/>
      <c r="D18" s="92">
        <v>790000</v>
      </c>
      <c r="E18" s="88"/>
      <c r="F18" s="98"/>
      <c r="G18" s="98"/>
      <c r="H18" s="88"/>
    </row>
    <row r="19" spans="1:8" x14ac:dyDescent="0.15">
      <c r="A19" t="str">
        <f>+Config!B181</f>
        <v>Eenmanszaak met 37,07% belasting</v>
      </c>
      <c r="B19" s="121">
        <v>0.37069999999999997</v>
      </c>
      <c r="C19" s="92">
        <v>69399</v>
      </c>
      <c r="D19" s="92">
        <v>69399</v>
      </c>
      <c r="E19" s="88"/>
      <c r="F19" s="98"/>
      <c r="G19" s="98"/>
      <c r="H19" s="88"/>
    </row>
    <row r="20" spans="1:8" x14ac:dyDescent="0.15">
      <c r="A20" t="str">
        <f>+Config!B182</f>
        <v>Eenmanszaak met 49,5% belasting</v>
      </c>
      <c r="B20" s="121">
        <v>0.495</v>
      </c>
      <c r="C20" s="92"/>
      <c r="D20" s="92">
        <v>140000</v>
      </c>
    </row>
    <row r="22" spans="1:8" x14ac:dyDescent="0.15">
      <c r="A22" s="91" t="s">
        <v>304</v>
      </c>
    </row>
    <row r="23" spans="1:8" x14ac:dyDescent="0.15">
      <c r="A23" t="s">
        <v>12</v>
      </c>
      <c r="B23" s="101" t="str">
        <f>Calculatie!B2</f>
        <v>Grote bakwagen</v>
      </c>
    </row>
    <row r="24" spans="1:8" x14ac:dyDescent="0.15">
      <c r="A24" t="s">
        <v>305</v>
      </c>
      <c r="B24" s="102" t="str">
        <f>INDEX(Table9[AanZET categorie],MATCH(B23,Table9[Voertuigtype],0))</f>
        <v>N3 Bakwagen</v>
      </c>
    </row>
    <row r="25" spans="1:8" x14ac:dyDescent="0.15">
      <c r="A25" t="s">
        <v>24</v>
      </c>
      <c r="B25" s="101" t="str">
        <f>Calculatie!B8</f>
        <v>BV of NV met 15% belasting</v>
      </c>
    </row>
    <row r="26" spans="1:8" x14ac:dyDescent="0.15">
      <c r="A26" t="s">
        <v>26</v>
      </c>
      <c r="B26" s="101">
        <f>Calculatie!B9</f>
        <v>2030</v>
      </c>
    </row>
    <row r="27" spans="1:8" x14ac:dyDescent="0.15">
      <c r="A27" t="s">
        <v>27</v>
      </c>
      <c r="B27" s="101" t="str">
        <f>Calculatie!B10</f>
        <v>Groot</v>
      </c>
    </row>
    <row r="28" spans="1:8" x14ac:dyDescent="0.15">
      <c r="A28" t="s">
        <v>322</v>
      </c>
      <c r="B28" s="117">
        <f>IFERROR(INDEX(Table14[[#All],[Min. Investering]],MATCH(B26,Table14[[#All],[Jaartal]],0)),INDEX(Table14[[#All],[Min. Investering]],MATCH(MAX(Table14[[#All],[Jaartal]]),Table14[[#All],[Jaartal]],0)))</f>
        <v>2500</v>
      </c>
    </row>
    <row r="30" spans="1:8" x14ac:dyDescent="0.15">
      <c r="A30" s="91" t="s">
        <v>311</v>
      </c>
      <c r="B30" s="91" t="s">
        <v>179</v>
      </c>
      <c r="C30" s="91" t="s">
        <v>182</v>
      </c>
    </row>
    <row r="31" spans="1:8" x14ac:dyDescent="0.15">
      <c r="A31" s="120" t="s">
        <v>324</v>
      </c>
      <c r="B31" s="125">
        <f>Calculatie!C36</f>
        <v>250000</v>
      </c>
      <c r="C31" s="125">
        <f>Calculatie!D36</f>
        <v>411109.82250000001</v>
      </c>
    </row>
    <row r="32" spans="1:8" x14ac:dyDescent="0.15">
      <c r="A32" t="s">
        <v>310</v>
      </c>
      <c r="B32" s="124">
        <f>IF(Calculatie!C36-Calculatie!B36&lt;0,0,Calculatie!C36-Calculatie!B36)</f>
        <v>117750</v>
      </c>
      <c r="C32" s="124">
        <f>IF(Calculatie!D36-Calculatie!B36&lt;0,0,Calculatie!D36-Calculatie!B36)</f>
        <v>278859.82250000001</v>
      </c>
    </row>
    <row r="33" spans="1:3" x14ac:dyDescent="0.15">
      <c r="A33" t="s">
        <v>294</v>
      </c>
      <c r="B33" s="124">
        <f>B$32*INDEX(Table8[Maximale steun (% van meerprijs)],MATCH(B27,Table8[Omvang bedrijf],0))</f>
        <v>47100</v>
      </c>
      <c r="C33" s="124">
        <f>C$32*INDEX(Table8[Maximale steun (% van meerprijs)],MATCH(B27,Table8[Omvang bedrijf],0))</f>
        <v>111543.929</v>
      </c>
    </row>
    <row r="34" spans="1:3" x14ac:dyDescent="0.15">
      <c r="A34" t="s">
        <v>155</v>
      </c>
      <c r="B34" s="125" t="str">
        <f>'Input-Output Module'!C30</f>
        <v>N</v>
      </c>
      <c r="C34" s="125" t="str">
        <f>'Input-Output Module'!D30</f>
        <v>N</v>
      </c>
    </row>
    <row r="35" spans="1:3" x14ac:dyDescent="0.15">
      <c r="A35" t="s">
        <v>37</v>
      </c>
      <c r="B35" s="125" t="str">
        <f>'Input-Output Module'!C31</f>
        <v>N</v>
      </c>
      <c r="C35" s="125" t="str">
        <f>'Input-Output Module'!D31</f>
        <v>N</v>
      </c>
    </row>
    <row r="36" spans="1:3" x14ac:dyDescent="0.15">
      <c r="A36" t="s">
        <v>501</v>
      </c>
      <c r="B36" s="125" t="str">
        <f>'Input-Output Module'!C37</f>
        <v>N</v>
      </c>
      <c r="C36" s="30"/>
    </row>
    <row r="38" spans="1:3" x14ac:dyDescent="0.15">
      <c r="A38" s="91" t="s">
        <v>309</v>
      </c>
    </row>
    <row r="39" spans="1:3" x14ac:dyDescent="0.15">
      <c r="A39" t="s">
        <v>314</v>
      </c>
      <c r="B39" s="124">
        <f>IF(OR(B34="J",B34="Y"),MIN(B$31*SUMIFS(Table15[Max. steun '[%']],Table15[AanZET categorie],$B$24,Table15[Omvang bedrijf],$B$27),SUMIFS(Table15[Max. steun '[€']],Table15[AanZET categorie],$B$24,Table15[Omvang bedrijf],$B$27),B$33),0)</f>
        <v>0</v>
      </c>
      <c r="C39" s="124">
        <f>IF(OR(C34="J",C34="Y"),MIN(C$31*SUMIFS(Table15[Max. steun '[%']],Table15[AanZET categorie],$B$24,Table15[Omvang bedrijf],$B$27),SUMIFS(Table15[Max. steun '[€']],Table15[AanZET categorie],$B$24,Table15[Omvang bedrijf],$B$27),C$33),0)</f>
        <v>0</v>
      </c>
    </row>
    <row r="41" spans="1:3" x14ac:dyDescent="0.15">
      <c r="A41" s="91" t="s">
        <v>315</v>
      </c>
    </row>
    <row r="42" spans="1:3" x14ac:dyDescent="0.15">
      <c r="A42" t="s">
        <v>316</v>
      </c>
      <c r="B42" s="126">
        <f>INDEX(Table13[Procent],MATCH($B$25,Table13[Belastingsklasse],0))</f>
        <v>0.15</v>
      </c>
      <c r="C42" s="126">
        <f>INDEX(Table13[Procent],MATCH($B$25,Table13[Belastingsklasse],0))</f>
        <v>0.15</v>
      </c>
    </row>
    <row r="43" spans="1:3" x14ac:dyDescent="0.15">
      <c r="A43" t="s">
        <v>317</v>
      </c>
      <c r="B43" s="127">
        <f>IF(OR(B35="J",B35="Y"),IFERROR(INDEX(Table14[[#All],[MIA %]],MATCH(B26,Table14[[#All],[Jaartal]],0)),INDEX(Table14[[#All],[MIA %]],MATCH(MAX(Table14[[#All],[Jaartal]]),Table14[[#All],[Jaartal]],0))),0)</f>
        <v>0</v>
      </c>
      <c r="C43" s="127">
        <f>IF(OR(C35="J",C35="Y"),IFERROR(INDEX(Table14[[#All],[MIA %]],MATCH(B26,Table14[[#All],[Jaartal]],0)),INDEX(Table14[[#All],[MIA %]],MATCH(MAX(Table14[[#All],[Jaartal]]),Table14[[#All],[Jaartal]],0))),0)</f>
        <v>0</v>
      </c>
    </row>
    <row r="44" spans="1:3" x14ac:dyDescent="0.15">
      <c r="A44" t="s">
        <v>318</v>
      </c>
      <c r="B44" s="110">
        <f>INDEX(Table13[Gebruikte fiscale winst voor berekening],MATCH($B$25,Table13[Belastingsklasse],0))</f>
        <v>395000</v>
      </c>
      <c r="C44" s="110">
        <f>INDEX(Table13[Gebruikte fiscale winst voor berekening],MATCH($B$25,Table13[Belastingsklasse],0))</f>
        <v>395000</v>
      </c>
    </row>
    <row r="45" spans="1:3" x14ac:dyDescent="0.15">
      <c r="A45" t="s">
        <v>319</v>
      </c>
      <c r="B45" s="124">
        <f>IF(B31&gt;=$B$28,B31*B43,0)</f>
        <v>0</v>
      </c>
      <c r="C45" s="124">
        <f>IF(C31&gt;=$B$28,C31*C43,0)</f>
        <v>0</v>
      </c>
    </row>
    <row r="46" spans="1:3" x14ac:dyDescent="0.15">
      <c r="A46" t="s">
        <v>320</v>
      </c>
      <c r="B46" s="124">
        <f>(B44*B42)-((B44-B45)*B42)</f>
        <v>0</v>
      </c>
      <c r="C46" s="124">
        <f>(C44*C42)-((C44-C45)*C42)</f>
        <v>0</v>
      </c>
    </row>
    <row r="47" spans="1:3" x14ac:dyDescent="0.15">
      <c r="A47" s="91" t="s">
        <v>323</v>
      </c>
    </row>
    <row r="48" spans="1:3" x14ac:dyDescent="0.15">
      <c r="A48" t="s">
        <v>325</v>
      </c>
      <c r="B48" s="124">
        <f>Calculatie!C42+Calculatie!C45</f>
        <v>29215.5</v>
      </c>
    </row>
    <row r="49" spans="1:4" x14ac:dyDescent="0.15">
      <c r="A49" t="s">
        <v>317</v>
      </c>
      <c r="B49" s="424">
        <f>IF(OR(B36="J",B36="Y"),IFERROR(INDEX(Table14[[#All],[MIA %]],MATCH(B26,Table14[[#All],[Jaartal]],0)),INDEX(Table14[[#All],[MIA %]],MATCH(MAX(Table14[[#All],[Jaartal]]),Table14[[#All],[Jaartal]],0))),0)</f>
        <v>0</v>
      </c>
    </row>
    <row r="50" spans="1:4" x14ac:dyDescent="0.15">
      <c r="A50" t="s">
        <v>319</v>
      </c>
      <c r="B50" s="124">
        <f>IF(B48&gt;=$B$28,B48*B49,0)</f>
        <v>0</v>
      </c>
    </row>
    <row r="51" spans="1:4" x14ac:dyDescent="0.15">
      <c r="A51" t="s">
        <v>320</v>
      </c>
      <c r="B51" s="124">
        <f>(B44*B42)-((B44-B50)*B42)</f>
        <v>0</v>
      </c>
    </row>
    <row r="53" spans="1:4" x14ac:dyDescent="0.15">
      <c r="A53" s="91" t="s">
        <v>326</v>
      </c>
      <c r="D53" s="90" t="s">
        <v>333</v>
      </c>
    </row>
    <row r="54" spans="1:4" x14ac:dyDescent="0.15">
      <c r="A54" t="s">
        <v>327</v>
      </c>
      <c r="B54" s="124">
        <f>IF(B39&lt;=B33,B39,B33)</f>
        <v>0</v>
      </c>
      <c r="C54" s="124">
        <f>IF(C39&lt;=C33,C39,C33)</f>
        <v>0</v>
      </c>
      <c r="D54" s="90" t="s">
        <v>329</v>
      </c>
    </row>
    <row r="55" spans="1:4" x14ac:dyDescent="0.15">
      <c r="A55" t="s">
        <v>307</v>
      </c>
      <c r="B55" s="124">
        <f>IF(B46&lt;=(B33-B54),B46,IF(B33-B54&lt;=0,0,B33-B54))</f>
        <v>0</v>
      </c>
      <c r="C55" s="124">
        <f>IF(C46&lt;=(C33-C54),C46,IF(C33-C54&lt;=0,0,C33-C54))</f>
        <v>0</v>
      </c>
    </row>
    <row r="56" spans="1:4" x14ac:dyDescent="0.15">
      <c r="A56" t="s">
        <v>328</v>
      </c>
      <c r="B56" s="124">
        <f>B51</f>
        <v>0</v>
      </c>
      <c r="C56" s="92"/>
      <c r="D56" s="90" t="s">
        <v>332</v>
      </c>
    </row>
    <row r="57" spans="1:4" x14ac:dyDescent="0.15">
      <c r="A57" t="s">
        <v>330</v>
      </c>
      <c r="B57" s="124">
        <f>SUM(B54:B56)</f>
        <v>0</v>
      </c>
      <c r="C57" s="124">
        <f>SUM(C54:C56)</f>
        <v>0</v>
      </c>
    </row>
  </sheetData>
  <pageMargins left="0.7" right="0.7" top="0.75" bottom="0.75" header="0.3" footer="0.3"/>
  <pageSetup paperSize="0" orientation="portrait" horizontalDpi="0" verticalDpi="0" copies="0"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0" tint="-0.499984740745262"/>
  </sheetPr>
  <dimension ref="A1:H93"/>
  <sheetViews>
    <sheetView workbookViewId="0">
      <selection activeCell="A16" sqref="A16"/>
    </sheetView>
  </sheetViews>
  <sheetFormatPr defaultRowHeight="10.5" x14ac:dyDescent="0.15"/>
  <cols>
    <col min="1" max="1" width="43.85546875" bestFit="1" customWidth="1"/>
    <col min="2" max="2" width="46.28515625" bestFit="1" customWidth="1"/>
    <col min="3" max="3" width="34.5703125" bestFit="1" customWidth="1"/>
    <col min="4" max="4" width="24.28515625" customWidth="1"/>
    <col min="5" max="5" width="10.7109375" customWidth="1"/>
    <col min="6" max="6" width="21.85546875" customWidth="1"/>
    <col min="7" max="7" width="7.42578125" bestFit="1" customWidth="1"/>
    <col min="8" max="8" width="17.7109375" customWidth="1"/>
    <col min="11" max="11" width="19" customWidth="1"/>
  </cols>
  <sheetData>
    <row r="1" spans="1:4" x14ac:dyDescent="0.15">
      <c r="A1" s="91" t="s">
        <v>8</v>
      </c>
    </row>
    <row r="2" spans="1:4" x14ac:dyDescent="0.15">
      <c r="A2" t="s">
        <v>161</v>
      </c>
      <c r="B2">
        <v>260</v>
      </c>
    </row>
    <row r="3" spans="1:4" x14ac:dyDescent="0.15">
      <c r="A3" t="s">
        <v>372</v>
      </c>
      <c r="B3">
        <v>1</v>
      </c>
    </row>
    <row r="4" spans="1:4" x14ac:dyDescent="0.15">
      <c r="A4" t="s">
        <v>373</v>
      </c>
      <c r="B4">
        <v>1</v>
      </c>
    </row>
    <row r="6" spans="1:4" x14ac:dyDescent="0.15">
      <c r="A6" s="91" t="s">
        <v>416</v>
      </c>
    </row>
    <row r="7" spans="1:4" x14ac:dyDescent="0.15">
      <c r="A7" s="120" t="s">
        <v>499</v>
      </c>
      <c r="B7">
        <f>Indexatie!D4</f>
        <v>1.5</v>
      </c>
    </row>
    <row r="8" spans="1:4" x14ac:dyDescent="0.15">
      <c r="A8" s="120" t="s">
        <v>500</v>
      </c>
      <c r="B8">
        <f>Indexatie!D5</f>
        <v>0.42</v>
      </c>
    </row>
    <row r="9" spans="1:4" x14ac:dyDescent="0.15">
      <c r="A9" t="s">
        <v>451</v>
      </c>
      <c r="B9" s="154">
        <v>0.95499999999999996</v>
      </c>
      <c r="D9" t="s">
        <v>389</v>
      </c>
    </row>
    <row r="10" spans="1:4" x14ac:dyDescent="0.15">
      <c r="A10" t="s">
        <v>450</v>
      </c>
      <c r="B10">
        <v>8.3244986557656601E-4</v>
      </c>
      <c r="C10" t="s">
        <v>449</v>
      </c>
    </row>
    <row r="11" spans="1:4" x14ac:dyDescent="0.15">
      <c r="A11" t="s">
        <v>453</v>
      </c>
      <c r="B11" s="155">
        <f>Indexatie!$D$12</f>
        <v>0.92149999999999999</v>
      </c>
      <c r="C11" t="s">
        <v>452</v>
      </c>
    </row>
    <row r="12" spans="1:4" x14ac:dyDescent="0.15">
      <c r="A12" t="s">
        <v>659</v>
      </c>
      <c r="B12" s="413">
        <v>10</v>
      </c>
    </row>
    <row r="13" spans="1:4" x14ac:dyDescent="0.15">
      <c r="A13" t="s">
        <v>454</v>
      </c>
      <c r="B13">
        <f>INDEX(VehicleCatalogus[[#All],[Energy/fuel consumption L; kWh; kg H2]],MATCH(Calculatie!$B$28,VehicleCatalogus[[#All],[Name]],0))*B12</f>
        <v>2.8541791164119132</v>
      </c>
      <c r="C13" t="s">
        <v>455</v>
      </c>
    </row>
    <row r="14" spans="1:4" x14ac:dyDescent="0.15">
      <c r="A14" t="s">
        <v>457</v>
      </c>
      <c r="B14">
        <v>0.46</v>
      </c>
      <c r="C14" t="s">
        <v>456</v>
      </c>
    </row>
    <row r="15" spans="1:4" x14ac:dyDescent="0.15">
      <c r="A15" t="s">
        <v>534</v>
      </c>
      <c r="B15" s="92">
        <v>525</v>
      </c>
    </row>
    <row r="16" spans="1:4" x14ac:dyDescent="0.15">
      <c r="A16" t="s">
        <v>533</v>
      </c>
      <c r="B16" s="92">
        <v>1535</v>
      </c>
    </row>
    <row r="17" spans="1:2" x14ac:dyDescent="0.15">
      <c r="A17" t="s">
        <v>547</v>
      </c>
      <c r="B17" s="92">
        <v>1275</v>
      </c>
    </row>
    <row r="18" spans="1:2" x14ac:dyDescent="0.15">
      <c r="A18" t="s">
        <v>215</v>
      </c>
      <c r="B18" s="98">
        <v>0.2</v>
      </c>
    </row>
    <row r="19" spans="1:2" x14ac:dyDescent="0.15">
      <c r="A19" t="s">
        <v>910</v>
      </c>
      <c r="B19" s="98">
        <v>0.5</v>
      </c>
    </row>
    <row r="20" spans="1:2" x14ac:dyDescent="0.15">
      <c r="A20" s="91" t="s">
        <v>417</v>
      </c>
    </row>
    <row r="21" spans="1:2" x14ac:dyDescent="0.15">
      <c r="A21" s="120" t="s">
        <v>448</v>
      </c>
      <c r="B21">
        <v>10</v>
      </c>
    </row>
    <row r="22" spans="1:2" x14ac:dyDescent="0.15">
      <c r="A22" t="s">
        <v>82</v>
      </c>
      <c r="B22" s="121">
        <f>Indexatie!$D$10</f>
        <v>3.9262665000000002E-2</v>
      </c>
    </row>
    <row r="23" spans="1:2" x14ac:dyDescent="0.15">
      <c r="A23" t="s">
        <v>83</v>
      </c>
      <c r="B23" s="121">
        <f>Indexatie!$D$11</f>
        <v>3.22461E-2</v>
      </c>
    </row>
    <row r="24" spans="1:2" x14ac:dyDescent="0.15">
      <c r="A24" s="91" t="s">
        <v>512</v>
      </c>
      <c r="B24" s="121"/>
    </row>
    <row r="25" spans="1:2" x14ac:dyDescent="0.15">
      <c r="A25" t="s">
        <v>513</v>
      </c>
      <c r="B25" s="121">
        <v>0.01</v>
      </c>
    </row>
    <row r="26" spans="1:2" x14ac:dyDescent="0.15">
      <c r="A26" t="s">
        <v>514</v>
      </c>
      <c r="B26" s="121">
        <v>1.6E-2</v>
      </c>
    </row>
    <row r="27" spans="1:2" x14ac:dyDescent="0.15">
      <c r="A27" t="s">
        <v>515</v>
      </c>
      <c r="B27" s="121">
        <v>1.6E-2</v>
      </c>
    </row>
    <row r="28" spans="1:2" x14ac:dyDescent="0.15">
      <c r="A28" t="s">
        <v>516</v>
      </c>
      <c r="B28" s="121">
        <v>0.01</v>
      </c>
    </row>
    <row r="29" spans="1:2" x14ac:dyDescent="0.15">
      <c r="A29" t="s">
        <v>517</v>
      </c>
      <c r="B29" s="121">
        <v>0.01</v>
      </c>
    </row>
    <row r="30" spans="1:2" x14ac:dyDescent="0.15">
      <c r="A30" t="s">
        <v>518</v>
      </c>
      <c r="B30" s="121">
        <v>0.01</v>
      </c>
    </row>
    <row r="31" spans="1:2" x14ac:dyDescent="0.15">
      <c r="A31" t="s">
        <v>519</v>
      </c>
      <c r="B31" s="121">
        <v>0.94</v>
      </c>
    </row>
    <row r="32" spans="1:2" x14ac:dyDescent="0.15">
      <c r="A32" t="s">
        <v>545</v>
      </c>
      <c r="B32" s="121">
        <v>0.96</v>
      </c>
    </row>
    <row r="33" spans="1:2" x14ac:dyDescent="0.15">
      <c r="A33" t="s">
        <v>546</v>
      </c>
      <c r="B33" s="121">
        <v>0.97</v>
      </c>
    </row>
    <row r="34" spans="1:2" x14ac:dyDescent="0.15">
      <c r="A34" t="s">
        <v>548</v>
      </c>
      <c r="B34" s="121">
        <v>0.96</v>
      </c>
    </row>
    <row r="35" spans="1:2" x14ac:dyDescent="0.15">
      <c r="A35" t="s">
        <v>549</v>
      </c>
      <c r="B35" s="121">
        <v>0.97</v>
      </c>
    </row>
    <row r="36" spans="1:2" x14ac:dyDescent="0.15">
      <c r="A36" t="s">
        <v>537</v>
      </c>
      <c r="B36" s="121">
        <v>1.41</v>
      </c>
    </row>
    <row r="37" spans="1:2" x14ac:dyDescent="0.15">
      <c r="A37" t="s">
        <v>538</v>
      </c>
      <c r="B37" s="121">
        <f>(B36-1)/(B38-2021)</f>
        <v>2.1578947368421048E-2</v>
      </c>
    </row>
    <row r="38" spans="1:2" x14ac:dyDescent="0.15">
      <c r="A38" t="s">
        <v>539</v>
      </c>
      <c r="B38" s="250">
        <v>2040</v>
      </c>
    </row>
    <row r="39" spans="1:2" x14ac:dyDescent="0.15">
      <c r="A39" s="91" t="s">
        <v>459</v>
      </c>
      <c r="B39" s="121"/>
    </row>
    <row r="40" spans="1:2" x14ac:dyDescent="0.15">
      <c r="A40" t="s">
        <v>113</v>
      </c>
      <c r="B40" s="92">
        <f>Indexatie!$D$43</f>
        <v>29.09</v>
      </c>
    </row>
    <row r="41" spans="1:2" x14ac:dyDescent="0.15">
      <c r="A41" t="s">
        <v>114</v>
      </c>
      <c r="B41" s="92">
        <f>Indexatie!$D$44</f>
        <v>0.9</v>
      </c>
    </row>
    <row r="42" spans="1:2" x14ac:dyDescent="0.15">
      <c r="A42" t="s">
        <v>115</v>
      </c>
      <c r="B42" s="92">
        <f>Indexatie!$D$45</f>
        <v>0.49</v>
      </c>
    </row>
    <row r="43" spans="1:2" x14ac:dyDescent="0.15">
      <c r="A43" s="91" t="s">
        <v>458</v>
      </c>
      <c r="B43" s="121"/>
    </row>
    <row r="44" spans="1:2" x14ac:dyDescent="0.15">
      <c r="A44" t="s">
        <v>121</v>
      </c>
      <c r="B44" s="121">
        <f>Indexatie!$D$46</f>
        <v>9.4E-2</v>
      </c>
    </row>
    <row r="45" spans="1:2" x14ac:dyDescent="0.15">
      <c r="A45" t="s">
        <v>122</v>
      </c>
      <c r="B45" s="121">
        <f>Indexatie!$D$47</f>
        <v>2.9000000000000001E-2</v>
      </c>
    </row>
    <row r="46" spans="1:2" x14ac:dyDescent="0.15">
      <c r="A46" t="s">
        <v>123</v>
      </c>
      <c r="B46" s="121">
        <f>Indexatie!$D$48</f>
        <v>5.6000000000000001E-2</v>
      </c>
    </row>
    <row r="47" spans="1:2" x14ac:dyDescent="0.15">
      <c r="B47" s="121"/>
    </row>
    <row r="48" spans="1:2" x14ac:dyDescent="0.15">
      <c r="A48" s="91" t="s">
        <v>421</v>
      </c>
    </row>
    <row r="49" spans="1:2" x14ac:dyDescent="0.15">
      <c r="A49" t="s">
        <v>430</v>
      </c>
      <c r="B49" s="168">
        <v>0.75</v>
      </c>
    </row>
    <row r="50" spans="1:2" x14ac:dyDescent="0.15">
      <c r="B50" s="168"/>
    </row>
    <row r="51" spans="1:2" x14ac:dyDescent="0.15">
      <c r="A51" s="91" t="s">
        <v>433</v>
      </c>
      <c r="B51" s="168"/>
    </row>
    <row r="52" spans="1:2" x14ac:dyDescent="0.15">
      <c r="A52" t="s">
        <v>434</v>
      </c>
      <c r="B52" s="170">
        <v>4</v>
      </c>
    </row>
    <row r="53" spans="1:2" x14ac:dyDescent="0.15">
      <c r="A53" t="s">
        <v>435</v>
      </c>
      <c r="B53" s="170">
        <v>2.5</v>
      </c>
    </row>
    <row r="54" spans="1:2" x14ac:dyDescent="0.15">
      <c r="A54" t="s">
        <v>436</v>
      </c>
      <c r="B54" s="121">
        <v>0.26400000000000001</v>
      </c>
    </row>
    <row r="55" spans="1:2" x14ac:dyDescent="0.15">
      <c r="A55" t="s">
        <v>446</v>
      </c>
      <c r="B55" s="92">
        <v>18</v>
      </c>
    </row>
    <row r="56" spans="1:2" x14ac:dyDescent="0.15">
      <c r="A56" t="s">
        <v>447</v>
      </c>
      <c r="B56" s="170">
        <v>120.1</v>
      </c>
    </row>
    <row r="57" spans="1:2" x14ac:dyDescent="0.15">
      <c r="A57" t="s">
        <v>668</v>
      </c>
      <c r="B57" s="92">
        <v>2000</v>
      </c>
    </row>
    <row r="59" spans="1:2" x14ac:dyDescent="0.15">
      <c r="A59" s="91" t="s">
        <v>334</v>
      </c>
    </row>
    <row r="60" spans="1:2" x14ac:dyDescent="0.15">
      <c r="A60" t="s">
        <v>335</v>
      </c>
      <c r="B60" t="s">
        <v>336</v>
      </c>
    </row>
    <row r="61" spans="1:2" x14ac:dyDescent="0.15">
      <c r="A61" t="str">
        <f>Config!B6</f>
        <v>Grijs</v>
      </c>
      <c r="B61">
        <f>INDEX(Indexatie!$D:$D,MATCH(H2_Fuel_Price[[#This Row],[Type]],Indexatie!$C:$C,0))</f>
        <v>7.56</v>
      </c>
    </row>
    <row r="62" spans="1:2" x14ac:dyDescent="0.15">
      <c r="A62" t="str">
        <f>Config!B7</f>
        <v>Blauw</v>
      </c>
      <c r="B62">
        <f>INDEX(Indexatie!$D:$D,MATCH(H2_Fuel_Price[[#This Row],[Type]],Indexatie!$C:$C,0))</f>
        <v>8.06</v>
      </c>
    </row>
    <row r="63" spans="1:2" x14ac:dyDescent="0.15">
      <c r="A63" t="str">
        <f>Config!B8</f>
        <v>Electrolyse (netstroom)</v>
      </c>
      <c r="B63">
        <f>INDEX(Indexatie!$D:$D,MATCH(H2_Fuel_Price[[#This Row],[Type]],Indexatie!$C:$C,0))</f>
        <v>10</v>
      </c>
    </row>
    <row r="64" spans="1:2" x14ac:dyDescent="0.15">
      <c r="A64" t="str">
        <f>Config!B9</f>
        <v>Electrolyse (hernieuwbare energie)</v>
      </c>
      <c r="B64">
        <f>INDEX(Indexatie!$D:$D,MATCH(H2_Fuel_Price[[#This Row],[Type]],Indexatie!$C:$C,0))</f>
        <v>10</v>
      </c>
    </row>
    <row r="66" spans="1:8" x14ac:dyDescent="0.15">
      <c r="A66" s="91" t="s">
        <v>397</v>
      </c>
    </row>
    <row r="67" spans="1:8" x14ac:dyDescent="0.15">
      <c r="A67" t="s">
        <v>398</v>
      </c>
      <c r="B67" t="s">
        <v>406</v>
      </c>
      <c r="C67" t="s">
        <v>232</v>
      </c>
      <c r="D67" t="s">
        <v>399</v>
      </c>
      <c r="E67" t="s">
        <v>400</v>
      </c>
      <c r="F67" t="s">
        <v>401</v>
      </c>
    </row>
    <row r="68" spans="1:8" x14ac:dyDescent="0.15">
      <c r="A68" t="s">
        <v>177</v>
      </c>
      <c r="B68" t="s">
        <v>143</v>
      </c>
      <c r="C68" t="s">
        <v>178</v>
      </c>
      <c r="D68">
        <v>3.2391638990074729</v>
      </c>
      <c r="E68">
        <v>4.0539399771117916E-2</v>
      </c>
      <c r="F68">
        <v>38.259095801370762</v>
      </c>
      <c r="G68" t="s">
        <v>402</v>
      </c>
      <c r="H68" t="s">
        <v>404</v>
      </c>
    </row>
    <row r="69" spans="1:8" x14ac:dyDescent="0.15">
      <c r="A69" t="s">
        <v>177</v>
      </c>
      <c r="B69" t="s">
        <v>13</v>
      </c>
      <c r="C69" t="s">
        <v>178</v>
      </c>
      <c r="D69">
        <v>3.2391638990074729</v>
      </c>
      <c r="E69">
        <v>4.0778979734846912E-2</v>
      </c>
      <c r="F69">
        <v>27.551466178794151</v>
      </c>
      <c r="G69" t="s">
        <v>403</v>
      </c>
      <c r="H69" t="s">
        <v>405</v>
      </c>
    </row>
    <row r="70" spans="1:8" x14ac:dyDescent="0.15">
      <c r="A70" t="s">
        <v>177</v>
      </c>
      <c r="B70" t="s">
        <v>144</v>
      </c>
      <c r="C70" t="s">
        <v>178</v>
      </c>
      <c r="D70">
        <v>3.2391638990074729</v>
      </c>
      <c r="E70">
        <v>3.8627357134386989E-2</v>
      </c>
      <c r="F70">
        <v>29.414221728971619</v>
      </c>
    </row>
    <row r="71" spans="1:8" x14ac:dyDescent="0.15">
      <c r="A71" t="s">
        <v>177</v>
      </c>
      <c r="B71" t="s">
        <v>145</v>
      </c>
      <c r="C71" t="s">
        <v>178</v>
      </c>
      <c r="D71">
        <v>3.2391638990074729</v>
      </c>
      <c r="E71">
        <v>4.4191285143567863E-2</v>
      </c>
      <c r="F71">
        <v>28.533630893083735</v>
      </c>
    </row>
    <row r="72" spans="1:8" x14ac:dyDescent="0.15">
      <c r="A72" t="s">
        <v>177</v>
      </c>
      <c r="B72" t="s">
        <v>146</v>
      </c>
      <c r="C72" t="s">
        <v>178</v>
      </c>
      <c r="D72">
        <v>3.2391638990074729</v>
      </c>
      <c r="E72">
        <v>2.8777608592971057E-2</v>
      </c>
      <c r="F72">
        <v>28.533630893083735</v>
      </c>
    </row>
    <row r="73" spans="1:8" x14ac:dyDescent="0.15">
      <c r="A73" t="s">
        <v>179</v>
      </c>
      <c r="B73" t="s">
        <v>149</v>
      </c>
      <c r="C73" t="s">
        <v>180</v>
      </c>
      <c r="D73">
        <v>0.36899999999999999</v>
      </c>
      <c r="E73">
        <v>0</v>
      </c>
      <c r="F73">
        <v>0</v>
      </c>
    </row>
    <row r="74" spans="1:8" x14ac:dyDescent="0.15">
      <c r="A74" t="s">
        <v>179</v>
      </c>
      <c r="B74" t="s">
        <v>20</v>
      </c>
      <c r="C74" t="s">
        <v>180</v>
      </c>
      <c r="D74">
        <v>0</v>
      </c>
      <c r="E74">
        <v>0</v>
      </c>
      <c r="F74">
        <v>0</v>
      </c>
    </row>
    <row r="75" spans="1:8" x14ac:dyDescent="0.15">
      <c r="A75" t="s">
        <v>182</v>
      </c>
      <c r="B75" t="str">
        <f>Config!B6</f>
        <v>Grijs</v>
      </c>
      <c r="C75" t="s">
        <v>183</v>
      </c>
      <c r="D75">
        <v>11.02</v>
      </c>
      <c r="E75">
        <v>0</v>
      </c>
      <c r="F75">
        <v>0</v>
      </c>
    </row>
    <row r="76" spans="1:8" x14ac:dyDescent="0.15">
      <c r="A76" t="s">
        <v>182</v>
      </c>
      <c r="B76" t="str">
        <f>Config!B7</f>
        <v>Blauw</v>
      </c>
      <c r="C76" t="s">
        <v>183</v>
      </c>
      <c r="D76">
        <v>4.24</v>
      </c>
      <c r="E76">
        <v>0</v>
      </c>
      <c r="F76">
        <v>0</v>
      </c>
    </row>
    <row r="77" spans="1:8" x14ac:dyDescent="0.15">
      <c r="A77" t="s">
        <v>182</v>
      </c>
      <c r="B77" t="str">
        <f>Config!B8</f>
        <v>Electrolyse (netstroom)</v>
      </c>
      <c r="C77" t="s">
        <v>183</v>
      </c>
      <c r="D77">
        <v>20.88</v>
      </c>
      <c r="E77">
        <v>0</v>
      </c>
      <c r="F77">
        <v>0</v>
      </c>
    </row>
    <row r="78" spans="1:8" x14ac:dyDescent="0.15">
      <c r="A78" t="s">
        <v>182</v>
      </c>
      <c r="B78" t="str">
        <f>Config!B9</f>
        <v>Electrolyse (hernieuwbare energie)</v>
      </c>
      <c r="C78" t="s">
        <v>183</v>
      </c>
      <c r="D78">
        <v>0</v>
      </c>
      <c r="E78">
        <v>0</v>
      </c>
      <c r="F78">
        <v>0</v>
      </c>
    </row>
    <row r="80" spans="1:8" x14ac:dyDescent="0.15">
      <c r="A80" s="91" t="s">
        <v>216</v>
      </c>
    </row>
    <row r="81" spans="1:4" x14ac:dyDescent="0.15">
      <c r="A81" s="93" t="s">
        <v>217</v>
      </c>
      <c r="B81" s="100" t="s">
        <v>218</v>
      </c>
      <c r="C81" t="s">
        <v>363</v>
      </c>
      <c r="D81" t="s">
        <v>364</v>
      </c>
    </row>
    <row r="82" spans="1:4" x14ac:dyDescent="0.15">
      <c r="A82">
        <v>0</v>
      </c>
      <c r="B82" s="99">
        <v>1</v>
      </c>
      <c r="C82" s="98">
        <v>0</v>
      </c>
      <c r="D82" s="98">
        <v>0</v>
      </c>
    </row>
    <row r="83" spans="1:4" x14ac:dyDescent="0.15">
      <c r="A83">
        <v>1</v>
      </c>
      <c r="B83" s="99">
        <v>0.81341005253803134</v>
      </c>
      <c r="C83" s="98">
        <v>0.18658994746196866</v>
      </c>
      <c r="D83" s="98">
        <v>0.18658994746196866</v>
      </c>
    </row>
    <row r="84" spans="1:4" x14ac:dyDescent="0.15">
      <c r="A84">
        <v>2</v>
      </c>
      <c r="B84" s="99">
        <v>0.65951563279480097</v>
      </c>
      <c r="C84" s="98">
        <v>0.17024218360259952</v>
      </c>
      <c r="D84" s="98">
        <v>0.15389441974323037</v>
      </c>
    </row>
    <row r="85" spans="1:4" x14ac:dyDescent="0.15">
      <c r="A85">
        <v>3</v>
      </c>
      <c r="B85" s="99">
        <v>0.53473751466870378</v>
      </c>
      <c r="C85" s="98">
        <v>0.15508749511043207</v>
      </c>
      <c r="D85" s="98">
        <v>0.12477811812609718</v>
      </c>
    </row>
    <row r="86" spans="1:4" x14ac:dyDescent="0.15">
      <c r="A86">
        <v>4</v>
      </c>
      <c r="B86" s="99">
        <v>0.43356699276759941</v>
      </c>
      <c r="C86" s="98">
        <v>0.14160825180810016</v>
      </c>
      <c r="D86" s="98">
        <v>0.10117052190110437</v>
      </c>
    </row>
    <row r="87" spans="1:4" x14ac:dyDescent="0.15">
      <c r="A87">
        <v>5</v>
      </c>
      <c r="B87" s="99">
        <v>0.35153759005294899</v>
      </c>
      <c r="C87" s="98">
        <v>0.12969248198941022</v>
      </c>
      <c r="D87" s="98">
        <v>8.2029402714650423E-2</v>
      </c>
    </row>
    <row r="88" spans="1:4" x14ac:dyDescent="0.15">
      <c r="A88">
        <v>6</v>
      </c>
      <c r="B88" s="99">
        <v>0.2850278717745377</v>
      </c>
      <c r="C88" s="98">
        <v>0.11916202137091038</v>
      </c>
      <c r="D88" s="98">
        <v>6.6509718278411289E-2</v>
      </c>
    </row>
    <row r="89" spans="1:4" x14ac:dyDescent="0.15">
      <c r="A89">
        <v>7</v>
      </c>
      <c r="B89" s="99">
        <v>0.23110156633913798</v>
      </c>
      <c r="C89" s="98">
        <v>0.10984263338012314</v>
      </c>
      <c r="D89" s="98">
        <v>5.3926305435399724E-2</v>
      </c>
    </row>
    <row r="90" spans="1:4" x14ac:dyDescent="0.15">
      <c r="A90">
        <v>8</v>
      </c>
      <c r="B90" s="99">
        <v>0.18737793476790113</v>
      </c>
      <c r="C90" s="98">
        <v>0.10157775815401236</v>
      </c>
      <c r="D90" s="98">
        <v>4.3723631571236848E-2</v>
      </c>
    </row>
    <row r="91" spans="1:4" x14ac:dyDescent="0.15">
      <c r="A91">
        <v>9</v>
      </c>
      <c r="B91" s="99">
        <v>0.15192666581220698</v>
      </c>
      <c r="C91" s="98">
        <v>9.423037046531034E-2</v>
      </c>
      <c r="D91" s="98">
        <v>3.5451268955694143E-2</v>
      </c>
    </row>
    <row r="92" spans="1:4" x14ac:dyDescent="0.15">
      <c r="A92">
        <v>10</v>
      </c>
      <c r="B92" s="99">
        <v>0.12318265655667825</v>
      </c>
      <c r="C92" s="98">
        <v>8.7681734344332171E-2</v>
      </c>
      <c r="D92" s="98">
        <v>2.8744009255528738E-2</v>
      </c>
    </row>
    <row r="93" spans="1:4" x14ac:dyDescent="0.15">
      <c r="A93" t="s">
        <v>219</v>
      </c>
      <c r="B93" s="99">
        <v>0.1</v>
      </c>
      <c r="C93" t="s">
        <v>365</v>
      </c>
      <c r="D93" s="98">
        <v>2.3182656556678241E-2</v>
      </c>
    </row>
  </sheetData>
  <pageMargins left="0.7" right="0.7" top="0.75" bottom="0.75" header="0.3" footer="0.3"/>
  <pageSetup paperSize="0" orientation="portrait" horizontalDpi="0" verticalDpi="0" copies="0"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1:O51"/>
  <sheetViews>
    <sheetView workbookViewId="0">
      <selection activeCell="E53" sqref="E53"/>
    </sheetView>
  </sheetViews>
  <sheetFormatPr defaultRowHeight="10.5" x14ac:dyDescent="0.15"/>
  <cols>
    <col min="2" max="2" width="11.42578125" customWidth="1"/>
    <col min="3" max="3" width="26.28515625" bestFit="1" customWidth="1"/>
    <col min="4" max="4" width="16.5703125" customWidth="1"/>
    <col min="5" max="5" width="12.85546875" bestFit="1" customWidth="1"/>
  </cols>
  <sheetData>
    <row r="1" spans="1:15" x14ac:dyDescent="0.15">
      <c r="A1" t="s">
        <v>341</v>
      </c>
      <c r="E1" s="558" t="s">
        <v>352</v>
      </c>
      <c r="F1" s="558"/>
      <c r="G1" s="558"/>
      <c r="H1" s="558"/>
      <c r="I1" s="558"/>
      <c r="J1" s="558"/>
      <c r="K1" s="558"/>
      <c r="L1" s="558"/>
      <c r="M1" s="558"/>
    </row>
    <row r="2" spans="1:15" x14ac:dyDescent="0.15">
      <c r="A2" t="s">
        <v>358</v>
      </c>
      <c r="B2" t="s">
        <v>360</v>
      </c>
      <c r="C2" t="s">
        <v>343</v>
      </c>
      <c r="D2" t="s">
        <v>357</v>
      </c>
      <c r="E2" t="s">
        <v>342</v>
      </c>
      <c r="F2">
        <v>2022</v>
      </c>
      <c r="G2">
        <v>2023</v>
      </c>
      <c r="H2">
        <v>2024</v>
      </c>
      <c r="I2">
        <v>2025</v>
      </c>
      <c r="J2">
        <v>2026</v>
      </c>
      <c r="K2">
        <v>2027</v>
      </c>
      <c r="L2">
        <v>2028</v>
      </c>
      <c r="M2">
        <v>2029</v>
      </c>
      <c r="N2">
        <v>2030</v>
      </c>
      <c r="O2" t="s">
        <v>292</v>
      </c>
    </row>
    <row r="3" spans="1:15" x14ac:dyDescent="0.15">
      <c r="A3" t="s">
        <v>351</v>
      </c>
      <c r="B3" t="s">
        <v>351</v>
      </c>
      <c r="C3" t="s">
        <v>351</v>
      </c>
      <c r="D3" s="89">
        <f>'Input-Output Module'!B20</f>
        <v>2030</v>
      </c>
      <c r="F3">
        <f t="shared" ref="F3:N3" si="0">IF($D$3&gt;=F2,1,0)</f>
        <v>1</v>
      </c>
      <c r="G3">
        <f t="shared" si="0"/>
        <v>1</v>
      </c>
      <c r="H3">
        <f t="shared" si="0"/>
        <v>1</v>
      </c>
      <c r="I3">
        <f t="shared" si="0"/>
        <v>1</v>
      </c>
      <c r="J3">
        <f t="shared" si="0"/>
        <v>1</v>
      </c>
      <c r="K3">
        <f t="shared" si="0"/>
        <v>1</v>
      </c>
      <c r="L3">
        <f t="shared" si="0"/>
        <v>1</v>
      </c>
      <c r="M3">
        <f t="shared" si="0"/>
        <v>1</v>
      </c>
      <c r="N3">
        <f t="shared" si="0"/>
        <v>1</v>
      </c>
    </row>
    <row r="4" spans="1:15" x14ac:dyDescent="0.15">
      <c r="A4" t="s">
        <v>359</v>
      </c>
      <c r="B4" t="s">
        <v>63</v>
      </c>
      <c r="C4" t="str">
        <f>+Config!B195</f>
        <v>Dieselprijs (ex btw en accijns)</v>
      </c>
      <c r="D4" s="101">
        <f t="shared" ref="D4:D51" si="1">E4*IF(F4*F$3&gt;0,F4,1)*IF(G4*G$3&gt;0,G4,1)*IF(H4*H$3&gt;0,H4,1)*IF(I4*I$3&gt;0,I4,1)*IF(J4*J$3&gt;0,J4,1)*IF(K4*K$3&gt;0,K4,1)*IF(L4*L$3&gt;0,L4,1)*IF(M4*M$3&gt;0,M4,1)*IF(N4*N$3&gt;0,N4,1)</f>
        <v>1.5</v>
      </c>
      <c r="E4" s="416">
        <v>1.5</v>
      </c>
      <c r="F4" s="421">
        <v>1</v>
      </c>
      <c r="G4" s="421"/>
      <c r="H4" s="421"/>
      <c r="I4" s="421"/>
      <c r="J4" s="421"/>
      <c r="K4" s="421"/>
      <c r="L4" s="421"/>
      <c r="M4" s="421"/>
      <c r="N4" s="421"/>
    </row>
    <row r="5" spans="1:15" x14ac:dyDescent="0.15">
      <c r="A5" t="s">
        <v>359</v>
      </c>
      <c r="B5" t="s">
        <v>63</v>
      </c>
      <c r="C5" t="str">
        <f>+Config!B44</f>
        <v>Dieselaccijns</v>
      </c>
      <c r="D5" s="101">
        <f t="shared" si="1"/>
        <v>0.42</v>
      </c>
      <c r="E5" s="416">
        <v>0.42</v>
      </c>
      <c r="F5" s="421">
        <v>1</v>
      </c>
      <c r="G5" s="421"/>
      <c r="H5" s="421"/>
      <c r="I5" s="421"/>
      <c r="J5" s="421"/>
      <c r="K5" s="421"/>
      <c r="L5" s="421"/>
      <c r="M5" s="421"/>
      <c r="N5" s="421"/>
    </row>
    <row r="6" spans="1:15" x14ac:dyDescent="0.15">
      <c r="A6" t="s">
        <v>359</v>
      </c>
      <c r="B6" t="s">
        <v>361</v>
      </c>
      <c r="C6" t="str">
        <f>Config!B6</f>
        <v>Grijs</v>
      </c>
      <c r="D6" s="101">
        <f t="shared" si="1"/>
        <v>7.56</v>
      </c>
      <c r="E6" s="416">
        <v>7.56</v>
      </c>
      <c r="F6" s="421">
        <v>1</v>
      </c>
      <c r="G6" s="421"/>
      <c r="H6" s="421"/>
      <c r="I6" s="421"/>
      <c r="J6" s="421"/>
      <c r="K6" s="421"/>
      <c r="L6" s="421"/>
      <c r="M6" s="421"/>
      <c r="N6" s="421"/>
    </row>
    <row r="7" spans="1:15" x14ac:dyDescent="0.15">
      <c r="A7" t="s">
        <v>359</v>
      </c>
      <c r="B7" t="s">
        <v>361</v>
      </c>
      <c r="C7" t="str">
        <f>Config!B7</f>
        <v>Blauw</v>
      </c>
      <c r="D7" s="101">
        <f t="shared" si="1"/>
        <v>8.06</v>
      </c>
      <c r="E7" s="416">
        <v>8.06</v>
      </c>
      <c r="F7" s="421">
        <v>1</v>
      </c>
      <c r="G7" s="421"/>
      <c r="H7" s="421"/>
      <c r="I7" s="421"/>
      <c r="J7" s="421"/>
      <c r="K7" s="421"/>
      <c r="L7" s="421"/>
      <c r="M7" s="421"/>
      <c r="N7" s="421"/>
    </row>
    <row r="8" spans="1:15" x14ac:dyDescent="0.15">
      <c r="A8" t="s">
        <v>359</v>
      </c>
      <c r="B8" t="s">
        <v>361</v>
      </c>
      <c r="C8" t="str">
        <f>Config!B8</f>
        <v>Electrolyse (netstroom)</v>
      </c>
      <c r="D8" s="101">
        <f t="shared" si="1"/>
        <v>10</v>
      </c>
      <c r="E8" s="416">
        <v>10</v>
      </c>
      <c r="F8" s="421">
        <v>1</v>
      </c>
      <c r="G8" s="421"/>
      <c r="H8" s="421"/>
      <c r="I8" s="421"/>
      <c r="J8" s="421"/>
      <c r="K8" s="421"/>
      <c r="L8" s="421"/>
      <c r="M8" s="421"/>
      <c r="N8" s="421"/>
    </row>
    <row r="9" spans="1:15" x14ac:dyDescent="0.15">
      <c r="A9" t="s">
        <v>359</v>
      </c>
      <c r="B9" t="s">
        <v>361</v>
      </c>
      <c r="C9" t="str">
        <f>Config!B9</f>
        <v>Electrolyse (hernieuwbare energie)</v>
      </c>
      <c r="D9" s="101">
        <f t="shared" si="1"/>
        <v>10</v>
      </c>
      <c r="E9" s="416">
        <v>10</v>
      </c>
      <c r="F9" s="421">
        <v>1</v>
      </c>
      <c r="G9" s="421"/>
      <c r="H9" s="421"/>
      <c r="I9" s="421"/>
      <c r="J9" s="421"/>
      <c r="K9" s="421"/>
      <c r="L9" s="421"/>
      <c r="M9" s="421"/>
      <c r="N9" s="421"/>
    </row>
    <row r="10" spans="1:15" x14ac:dyDescent="0.15">
      <c r="A10" t="s">
        <v>417</v>
      </c>
      <c r="B10" t="s">
        <v>417</v>
      </c>
      <c r="C10" t="str">
        <f>+Config!B81</f>
        <v>Rente</v>
      </c>
      <c r="D10" s="418">
        <f t="shared" si="1"/>
        <v>3.9262665000000002E-2</v>
      </c>
      <c r="E10" s="417">
        <v>2.6499999999999999E-2</v>
      </c>
      <c r="F10" s="421">
        <v>1.4816100000000001</v>
      </c>
      <c r="G10" s="421"/>
      <c r="H10" s="421"/>
      <c r="I10" s="421"/>
      <c r="J10" s="421"/>
      <c r="K10" s="421"/>
      <c r="L10" s="421"/>
      <c r="M10" s="421"/>
      <c r="N10" s="421"/>
    </row>
    <row r="11" spans="1:15" x14ac:dyDescent="0.15">
      <c r="A11" t="s">
        <v>417</v>
      </c>
      <c r="B11" t="s">
        <v>417</v>
      </c>
      <c r="C11" t="str">
        <f>+Config!B82</f>
        <v>Verzekering</v>
      </c>
      <c r="D11" s="418">
        <f t="shared" si="1"/>
        <v>3.22461E-2</v>
      </c>
      <c r="E11" s="417">
        <v>0.03</v>
      </c>
      <c r="F11" s="421">
        <v>1.07487</v>
      </c>
      <c r="G11" s="421"/>
      <c r="H11" s="421"/>
      <c r="I11" s="421"/>
      <c r="J11" s="421"/>
      <c r="K11" s="421"/>
      <c r="L11" s="421"/>
      <c r="M11" s="421"/>
      <c r="N11" s="421"/>
    </row>
    <row r="12" spans="1:15" x14ac:dyDescent="0.15">
      <c r="A12" t="s">
        <v>416</v>
      </c>
      <c r="B12" t="s">
        <v>670</v>
      </c>
      <c r="C12" t="s">
        <v>669</v>
      </c>
      <c r="D12" s="116">
        <f t="shared" si="1"/>
        <v>0.92149999999999999</v>
      </c>
      <c r="E12" s="420">
        <v>0.92149999999999999</v>
      </c>
      <c r="F12" s="422">
        <v>1</v>
      </c>
      <c r="G12" s="422"/>
      <c r="H12" s="422"/>
      <c r="I12" s="422"/>
      <c r="J12" s="422"/>
      <c r="K12" s="422"/>
      <c r="L12" s="422"/>
      <c r="M12" s="422"/>
      <c r="N12" s="422"/>
    </row>
    <row r="13" spans="1:15" x14ac:dyDescent="0.15">
      <c r="A13" t="s">
        <v>671</v>
      </c>
      <c r="B13" t="s">
        <v>177</v>
      </c>
      <c r="C13" t="str">
        <f>+Catalogus!F3</f>
        <v>Kleine bakwagen</v>
      </c>
      <c r="D13" s="116">
        <f t="shared" si="1"/>
        <v>71875</v>
      </c>
      <c r="E13" s="420">
        <v>62500</v>
      </c>
      <c r="F13" s="422">
        <v>1.1499999999999999</v>
      </c>
      <c r="G13" s="422"/>
      <c r="H13" s="422"/>
      <c r="I13" s="422"/>
      <c r="J13" s="422"/>
      <c r="K13" s="422"/>
      <c r="L13" s="422"/>
      <c r="M13" s="422"/>
      <c r="N13" s="422"/>
    </row>
    <row r="14" spans="1:15" x14ac:dyDescent="0.15">
      <c r="A14" t="s">
        <v>671</v>
      </c>
      <c r="B14" t="s">
        <v>177</v>
      </c>
      <c r="C14" t="str">
        <f>+Catalogus!F4</f>
        <v>Medium bakwagen</v>
      </c>
      <c r="D14" s="116">
        <f t="shared" si="1"/>
        <v>102062.49999999999</v>
      </c>
      <c r="E14" s="420">
        <v>88750</v>
      </c>
      <c r="F14" s="422">
        <v>1.1499999999999999</v>
      </c>
      <c r="G14" s="422"/>
      <c r="H14" s="422"/>
      <c r="I14" s="422"/>
      <c r="J14" s="422"/>
      <c r="K14" s="422"/>
      <c r="L14" s="422"/>
      <c r="M14" s="422"/>
      <c r="N14" s="422"/>
    </row>
    <row r="15" spans="1:15" x14ac:dyDescent="0.15">
      <c r="A15" t="s">
        <v>671</v>
      </c>
      <c r="B15" t="s">
        <v>177</v>
      </c>
      <c r="C15" t="str">
        <f>+Catalogus!F5</f>
        <v>Grote bakwagen</v>
      </c>
      <c r="D15" s="116">
        <f t="shared" si="1"/>
        <v>132250</v>
      </c>
      <c r="E15" s="420">
        <v>115000</v>
      </c>
      <c r="F15" s="422">
        <v>1.1499999999999999</v>
      </c>
      <c r="G15" s="422"/>
      <c r="H15" s="422"/>
      <c r="I15" s="422"/>
      <c r="J15" s="422"/>
      <c r="K15" s="422"/>
      <c r="L15" s="422"/>
      <c r="M15" s="422"/>
      <c r="N15" s="422"/>
    </row>
    <row r="16" spans="1:15" x14ac:dyDescent="0.15">
      <c r="A16" t="s">
        <v>671</v>
      </c>
      <c r="B16" t="s">
        <v>177</v>
      </c>
      <c r="C16" t="str">
        <f>+Catalogus!F6</f>
        <v>Lichte trekker z/opl</v>
      </c>
      <c r="D16" s="116">
        <f t="shared" si="1"/>
        <v>109537.49999999999</v>
      </c>
      <c r="E16" s="420">
        <v>95250</v>
      </c>
      <c r="F16" s="422">
        <v>1.1499999999999999</v>
      </c>
      <c r="G16" s="422"/>
      <c r="H16" s="422"/>
      <c r="I16" s="422"/>
      <c r="J16" s="422"/>
      <c r="K16" s="422"/>
      <c r="L16" s="422"/>
      <c r="M16" s="422"/>
      <c r="N16" s="422"/>
    </row>
    <row r="17" spans="1:14" x14ac:dyDescent="0.15">
      <c r="A17" t="s">
        <v>671</v>
      </c>
      <c r="B17" t="s">
        <v>177</v>
      </c>
      <c r="C17" t="str">
        <f>+Catalogus!F7</f>
        <v>Zware trekker z/opl</v>
      </c>
      <c r="D17" s="116">
        <f t="shared" si="1"/>
        <v>126499.99999999999</v>
      </c>
      <c r="E17" s="420">
        <v>110000</v>
      </c>
      <c r="F17" s="422">
        <v>1.1499999999999999</v>
      </c>
      <c r="G17" s="422"/>
      <c r="H17" s="422"/>
      <c r="I17" s="422"/>
      <c r="J17" s="422"/>
      <c r="K17" s="422"/>
      <c r="L17" s="422"/>
      <c r="M17" s="422"/>
      <c r="N17" s="422"/>
    </row>
    <row r="18" spans="1:14" x14ac:dyDescent="0.15">
      <c r="A18" t="s">
        <v>671</v>
      </c>
      <c r="B18" t="s">
        <v>179</v>
      </c>
      <c r="C18" t="str">
        <f>+Catalogus!F8</f>
        <v>Kleine bakwagen 80 kWh</v>
      </c>
      <c r="D18" s="116">
        <f t="shared" si="1"/>
        <v>107635</v>
      </c>
      <c r="E18" s="420">
        <v>104500</v>
      </c>
      <c r="F18" s="422">
        <v>1.03</v>
      </c>
      <c r="G18" s="422"/>
      <c r="H18" s="422"/>
      <c r="I18" s="422"/>
      <c r="J18" s="422"/>
      <c r="K18" s="422"/>
      <c r="L18" s="422"/>
      <c r="M18" s="422"/>
      <c r="N18" s="422"/>
    </row>
    <row r="19" spans="1:14" x14ac:dyDescent="0.15">
      <c r="A19" t="s">
        <v>671</v>
      </c>
      <c r="B19" t="s">
        <v>179</v>
      </c>
      <c r="C19" t="str">
        <f>+Catalogus!F9</f>
        <v>Kleine bakwagen 120 kWh</v>
      </c>
      <c r="D19" s="116">
        <f t="shared" si="1"/>
        <v>129265</v>
      </c>
      <c r="E19" s="420">
        <v>125500</v>
      </c>
      <c r="F19" s="422">
        <v>1.03</v>
      </c>
      <c r="G19" s="422"/>
      <c r="H19" s="422"/>
      <c r="I19" s="422"/>
      <c r="J19" s="422"/>
      <c r="K19" s="422"/>
      <c r="L19" s="422"/>
      <c r="M19" s="422"/>
      <c r="N19" s="422"/>
    </row>
    <row r="20" spans="1:14" x14ac:dyDescent="0.15">
      <c r="A20" t="s">
        <v>671</v>
      </c>
      <c r="B20" t="s">
        <v>179</v>
      </c>
      <c r="C20" t="str">
        <f>+Catalogus!F10</f>
        <v>Kleine bakwagen 160 kWh</v>
      </c>
      <c r="D20" s="116">
        <f t="shared" si="1"/>
        <v>150895</v>
      </c>
      <c r="E20" s="420">
        <v>146500</v>
      </c>
      <c r="F20" s="422">
        <v>1.03</v>
      </c>
      <c r="G20" s="422"/>
      <c r="H20" s="422"/>
      <c r="I20" s="422"/>
      <c r="J20" s="422"/>
      <c r="K20" s="422"/>
      <c r="L20" s="422"/>
      <c r="M20" s="422"/>
      <c r="N20" s="422"/>
    </row>
    <row r="21" spans="1:14" x14ac:dyDescent="0.15">
      <c r="A21" t="s">
        <v>671</v>
      </c>
      <c r="B21" t="s">
        <v>179</v>
      </c>
      <c r="C21" t="str">
        <f>+Catalogus!F11</f>
        <v>Kleine bakwagen 200 kWh</v>
      </c>
      <c r="D21" s="116">
        <f t="shared" si="1"/>
        <v>180000</v>
      </c>
      <c r="E21" s="420">
        <v>180000</v>
      </c>
      <c r="F21" s="422">
        <v>1</v>
      </c>
      <c r="G21" s="422"/>
      <c r="H21" s="422"/>
      <c r="I21" s="422"/>
      <c r="J21" s="422"/>
      <c r="K21" s="422"/>
      <c r="L21" s="422"/>
      <c r="M21" s="422"/>
      <c r="N21" s="422"/>
    </row>
    <row r="22" spans="1:14" x14ac:dyDescent="0.15">
      <c r="A22" t="s">
        <v>671</v>
      </c>
      <c r="B22" t="s">
        <v>179</v>
      </c>
      <c r="C22" t="str">
        <f>+Catalogus!F12</f>
        <v>Medium bakwagen 120 kWh</v>
      </c>
      <c r="D22" s="116">
        <f t="shared" si="1"/>
        <v>156302.5</v>
      </c>
      <c r="E22" s="420">
        <v>151750</v>
      </c>
      <c r="F22" s="422">
        <v>1.03</v>
      </c>
      <c r="G22" s="422"/>
      <c r="H22" s="422"/>
      <c r="I22" s="422"/>
      <c r="J22" s="422"/>
      <c r="K22" s="422"/>
      <c r="L22" s="422"/>
      <c r="M22" s="422"/>
      <c r="N22" s="422"/>
    </row>
    <row r="23" spans="1:14" x14ac:dyDescent="0.15">
      <c r="A23" t="s">
        <v>671</v>
      </c>
      <c r="B23" t="s">
        <v>179</v>
      </c>
      <c r="C23" t="str">
        <f>+Catalogus!F13</f>
        <v>Medium bakwagen 160 kWh</v>
      </c>
      <c r="D23" s="116">
        <f t="shared" si="1"/>
        <v>177932.5</v>
      </c>
      <c r="E23" s="420">
        <v>172750</v>
      </c>
      <c r="F23" s="422">
        <v>1.03</v>
      </c>
      <c r="G23" s="422"/>
      <c r="H23" s="422"/>
      <c r="I23" s="422"/>
      <c r="J23" s="422"/>
      <c r="K23" s="422"/>
      <c r="L23" s="422"/>
      <c r="M23" s="422"/>
      <c r="N23" s="422"/>
    </row>
    <row r="24" spans="1:14" x14ac:dyDescent="0.15">
      <c r="A24" t="s">
        <v>671</v>
      </c>
      <c r="B24" t="s">
        <v>179</v>
      </c>
      <c r="C24" t="str">
        <f>+Catalogus!F14</f>
        <v>Medium bakwagen 180 kWh</v>
      </c>
      <c r="D24" s="116">
        <f t="shared" si="1"/>
        <v>188747.5</v>
      </c>
      <c r="E24" s="420">
        <v>183250</v>
      </c>
      <c r="F24" s="422">
        <v>1.03</v>
      </c>
      <c r="G24" s="422"/>
      <c r="H24" s="422"/>
      <c r="I24" s="422"/>
      <c r="J24" s="422"/>
      <c r="K24" s="422"/>
      <c r="L24" s="422"/>
      <c r="M24" s="422"/>
      <c r="N24" s="422"/>
    </row>
    <row r="25" spans="1:14" x14ac:dyDescent="0.15">
      <c r="A25" t="s">
        <v>671</v>
      </c>
      <c r="B25" t="s">
        <v>179</v>
      </c>
      <c r="C25" t="str">
        <f>+Catalogus!F15</f>
        <v>Medium bakwagen 240 kWh</v>
      </c>
      <c r="D25" s="116">
        <f t="shared" si="1"/>
        <v>215000</v>
      </c>
      <c r="E25" s="420">
        <v>215000</v>
      </c>
      <c r="F25" s="422">
        <v>1</v>
      </c>
      <c r="G25" s="422"/>
      <c r="H25" s="422"/>
      <c r="I25" s="422"/>
      <c r="J25" s="422"/>
      <c r="K25" s="422"/>
      <c r="L25" s="422"/>
      <c r="M25" s="422"/>
      <c r="N25" s="422"/>
    </row>
    <row r="26" spans="1:14" x14ac:dyDescent="0.15">
      <c r="A26" t="s">
        <v>671</v>
      </c>
      <c r="B26" t="s">
        <v>179</v>
      </c>
      <c r="C26" t="str">
        <f>+Catalogus!F16</f>
        <v>Grote bakwagen 160 kWh</v>
      </c>
      <c r="D26" s="116">
        <f t="shared" si="1"/>
        <v>204970</v>
      </c>
      <c r="E26" s="420">
        <v>199000</v>
      </c>
      <c r="F26" s="422">
        <v>1.03</v>
      </c>
      <c r="G26" s="422"/>
      <c r="H26" s="422"/>
      <c r="I26" s="422"/>
      <c r="J26" s="422"/>
      <c r="K26" s="422"/>
      <c r="L26" s="422"/>
      <c r="M26" s="422"/>
      <c r="N26" s="422"/>
    </row>
    <row r="27" spans="1:14" x14ac:dyDescent="0.15">
      <c r="A27" t="s">
        <v>671</v>
      </c>
      <c r="B27" t="s">
        <v>179</v>
      </c>
      <c r="C27" t="str">
        <f>+Catalogus!F17</f>
        <v>Grote bakwagen 180 kWh</v>
      </c>
      <c r="D27" s="116">
        <f t="shared" si="1"/>
        <v>215785</v>
      </c>
      <c r="E27" s="420">
        <v>209500</v>
      </c>
      <c r="F27" s="422">
        <v>1.03</v>
      </c>
      <c r="G27" s="422"/>
      <c r="H27" s="422"/>
      <c r="I27" s="422"/>
      <c r="J27" s="422"/>
      <c r="K27" s="422"/>
      <c r="L27" s="422"/>
      <c r="M27" s="422"/>
      <c r="N27" s="422"/>
    </row>
    <row r="28" spans="1:14" x14ac:dyDescent="0.15">
      <c r="A28" t="s">
        <v>671</v>
      </c>
      <c r="B28" t="s">
        <v>179</v>
      </c>
      <c r="C28" t="str">
        <f>+Catalogus!F18</f>
        <v>Grote bakwagen 200 kWh</v>
      </c>
      <c r="D28" s="116">
        <f t="shared" si="1"/>
        <v>226600</v>
      </c>
      <c r="E28" s="420">
        <v>220000</v>
      </c>
      <c r="F28" s="422">
        <v>1.03</v>
      </c>
      <c r="G28" s="422"/>
      <c r="H28" s="422"/>
      <c r="I28" s="422"/>
      <c r="J28" s="422"/>
      <c r="K28" s="422"/>
      <c r="L28" s="422"/>
      <c r="M28" s="422"/>
      <c r="N28" s="422"/>
    </row>
    <row r="29" spans="1:14" x14ac:dyDescent="0.15">
      <c r="A29" t="s">
        <v>671</v>
      </c>
      <c r="B29" t="s">
        <v>179</v>
      </c>
      <c r="C29" t="str">
        <f>+Catalogus!F19</f>
        <v>Grote bakwagen 260 kWh</v>
      </c>
      <c r="D29" s="116">
        <f t="shared" si="1"/>
        <v>250000</v>
      </c>
      <c r="E29" s="420">
        <v>250000</v>
      </c>
      <c r="F29" s="422">
        <v>1</v>
      </c>
      <c r="G29" s="422"/>
      <c r="H29" s="422"/>
      <c r="I29" s="422"/>
      <c r="J29" s="422"/>
      <c r="K29" s="422"/>
      <c r="L29" s="422"/>
      <c r="M29" s="422"/>
      <c r="N29" s="422"/>
    </row>
    <row r="30" spans="1:14" x14ac:dyDescent="0.15">
      <c r="A30" t="s">
        <v>671</v>
      </c>
      <c r="B30" t="s">
        <v>179</v>
      </c>
      <c r="C30" t="str">
        <f>+Catalogus!F20</f>
        <v>Lichte trekker z/opl 180 kWh</v>
      </c>
      <c r="D30" s="116">
        <f t="shared" si="1"/>
        <v>195442.5</v>
      </c>
      <c r="E30" s="420">
        <v>189750</v>
      </c>
      <c r="F30" s="422">
        <v>1.03</v>
      </c>
      <c r="G30" s="422"/>
      <c r="H30" s="422"/>
      <c r="I30" s="422"/>
      <c r="J30" s="422"/>
      <c r="K30" s="422"/>
      <c r="L30" s="422"/>
      <c r="M30" s="422"/>
      <c r="N30" s="422"/>
    </row>
    <row r="31" spans="1:14" x14ac:dyDescent="0.15">
      <c r="A31" t="s">
        <v>671</v>
      </c>
      <c r="B31" t="s">
        <v>179</v>
      </c>
      <c r="C31" t="str">
        <f>+Catalogus!F21</f>
        <v>Lichte trekker z/opl 220 kWh</v>
      </c>
      <c r="D31" s="116">
        <f t="shared" si="1"/>
        <v>217072.5</v>
      </c>
      <c r="E31" s="420">
        <v>210750</v>
      </c>
      <c r="F31" s="422">
        <v>1.03</v>
      </c>
      <c r="G31" s="422"/>
      <c r="H31" s="422"/>
      <c r="I31" s="422"/>
      <c r="J31" s="422"/>
      <c r="K31" s="422"/>
      <c r="L31" s="422"/>
      <c r="M31" s="422"/>
      <c r="N31" s="422"/>
    </row>
    <row r="32" spans="1:14" x14ac:dyDescent="0.15">
      <c r="A32" t="s">
        <v>671</v>
      </c>
      <c r="B32" t="s">
        <v>179</v>
      </c>
      <c r="C32" t="str">
        <f>+Catalogus!F22</f>
        <v>Lichte trekker z/opl 260 kWh</v>
      </c>
      <c r="D32" s="116">
        <f t="shared" si="1"/>
        <v>238702.5</v>
      </c>
      <c r="E32" s="420">
        <v>231750</v>
      </c>
      <c r="F32" s="422">
        <v>1.03</v>
      </c>
      <c r="G32" s="422"/>
      <c r="H32" s="422"/>
      <c r="I32" s="422"/>
      <c r="J32" s="422"/>
      <c r="K32" s="422"/>
      <c r="L32" s="422"/>
      <c r="M32" s="422"/>
      <c r="N32" s="422"/>
    </row>
    <row r="33" spans="1:14" x14ac:dyDescent="0.15">
      <c r="A33" t="s">
        <v>671</v>
      </c>
      <c r="B33" t="s">
        <v>179</v>
      </c>
      <c r="C33" t="str">
        <f>+Catalogus!F23</f>
        <v>Lichte trekker z/opl 340 kWh</v>
      </c>
      <c r="D33" s="116">
        <f t="shared" si="1"/>
        <v>240000</v>
      </c>
      <c r="E33" s="420">
        <v>240000</v>
      </c>
      <c r="F33" s="422">
        <v>1</v>
      </c>
      <c r="G33" s="422"/>
      <c r="H33" s="422"/>
      <c r="I33" s="422"/>
      <c r="J33" s="422"/>
      <c r="K33" s="422"/>
      <c r="L33" s="422"/>
      <c r="M33" s="422"/>
      <c r="N33" s="422"/>
    </row>
    <row r="34" spans="1:14" x14ac:dyDescent="0.15">
      <c r="A34" t="s">
        <v>671</v>
      </c>
      <c r="B34" t="s">
        <v>179</v>
      </c>
      <c r="C34" t="str">
        <f>+Catalogus!F24</f>
        <v>Zware trekker z/opl 300 kWh</v>
      </c>
      <c r="D34" s="116">
        <f t="shared" si="1"/>
        <v>275525</v>
      </c>
      <c r="E34" s="420">
        <v>267500</v>
      </c>
      <c r="F34" s="422">
        <v>1.03</v>
      </c>
      <c r="G34" s="422"/>
      <c r="H34" s="422"/>
      <c r="I34" s="422"/>
      <c r="J34" s="422"/>
      <c r="K34" s="422"/>
      <c r="L34" s="422"/>
      <c r="M34" s="422"/>
      <c r="N34" s="422"/>
    </row>
    <row r="35" spans="1:14" x14ac:dyDescent="0.15">
      <c r="A35" t="s">
        <v>671</v>
      </c>
      <c r="B35" t="s">
        <v>179</v>
      </c>
      <c r="C35" t="str">
        <f>+Catalogus!F25</f>
        <v>Zware trekker z/opl 400 kWh</v>
      </c>
      <c r="D35" s="116">
        <f t="shared" si="1"/>
        <v>329600</v>
      </c>
      <c r="E35" s="420">
        <v>320000</v>
      </c>
      <c r="F35" s="422">
        <v>1.03</v>
      </c>
      <c r="G35" s="422"/>
      <c r="H35" s="422"/>
      <c r="I35" s="422"/>
      <c r="J35" s="422"/>
      <c r="K35" s="422"/>
      <c r="L35" s="422"/>
      <c r="M35" s="422"/>
      <c r="N35" s="422"/>
    </row>
    <row r="36" spans="1:14" x14ac:dyDescent="0.15">
      <c r="A36" t="s">
        <v>671</v>
      </c>
      <c r="B36" t="s">
        <v>179</v>
      </c>
      <c r="C36" t="str">
        <f>+Catalogus!F26</f>
        <v>Zware trekker z/opl 440 kWh</v>
      </c>
      <c r="D36" s="116">
        <f t="shared" si="1"/>
        <v>351230</v>
      </c>
      <c r="E36" s="420">
        <v>341000</v>
      </c>
      <c r="F36" s="422">
        <v>1.03</v>
      </c>
      <c r="G36" s="422"/>
      <c r="H36" s="422"/>
      <c r="I36" s="422"/>
      <c r="J36" s="422"/>
      <c r="K36" s="422"/>
      <c r="L36" s="422"/>
      <c r="M36" s="422"/>
      <c r="N36" s="422"/>
    </row>
    <row r="37" spans="1:14" x14ac:dyDescent="0.15">
      <c r="A37" t="s">
        <v>671</v>
      </c>
      <c r="B37" t="s">
        <v>179</v>
      </c>
      <c r="C37" t="str">
        <f>+Catalogus!F27</f>
        <v>Zware trekker z/opl 490 kWh</v>
      </c>
      <c r="D37" s="116">
        <f t="shared" si="1"/>
        <v>380000</v>
      </c>
      <c r="E37" s="420">
        <v>380000</v>
      </c>
      <c r="F37" s="422">
        <v>1</v>
      </c>
      <c r="G37" s="422"/>
      <c r="H37" s="422"/>
      <c r="I37" s="422"/>
      <c r="J37" s="422"/>
      <c r="K37" s="422"/>
      <c r="L37" s="422"/>
      <c r="M37" s="422"/>
      <c r="N37" s="422"/>
    </row>
    <row r="38" spans="1:14" x14ac:dyDescent="0.15">
      <c r="A38" t="s">
        <v>671</v>
      </c>
      <c r="B38" t="s">
        <v>182</v>
      </c>
      <c r="C38" t="str">
        <f>+Catalogus!F28</f>
        <v>Kleine bakwagen 30 kW</v>
      </c>
      <c r="D38" s="116">
        <f t="shared" si="1"/>
        <v>238794.42750000002</v>
      </c>
      <c r="E38" s="420">
        <v>231839.25</v>
      </c>
      <c r="F38" s="422">
        <v>1.03</v>
      </c>
      <c r="G38" s="422"/>
      <c r="H38" s="422"/>
      <c r="I38" s="422"/>
      <c r="J38" s="422"/>
      <c r="K38" s="422"/>
      <c r="L38" s="422"/>
      <c r="M38" s="422"/>
      <c r="N38" s="422"/>
    </row>
    <row r="39" spans="1:14" x14ac:dyDescent="0.15">
      <c r="A39" t="s">
        <v>671</v>
      </c>
      <c r="B39" t="s">
        <v>182</v>
      </c>
      <c r="C39" t="str">
        <f>+Catalogus!F29</f>
        <v>Medium bakwagen 40 kW</v>
      </c>
      <c r="D39" s="116">
        <f t="shared" si="1"/>
        <v>360206.70750000002</v>
      </c>
      <c r="E39" s="420">
        <v>349715.25</v>
      </c>
      <c r="F39" s="422">
        <v>1.03</v>
      </c>
      <c r="G39" s="422"/>
      <c r="H39" s="422"/>
      <c r="I39" s="422"/>
      <c r="J39" s="422"/>
      <c r="K39" s="422"/>
      <c r="L39" s="422"/>
      <c r="M39" s="422"/>
      <c r="N39" s="422"/>
    </row>
    <row r="40" spans="1:14" x14ac:dyDescent="0.15">
      <c r="A40" t="s">
        <v>671</v>
      </c>
      <c r="B40" t="s">
        <v>182</v>
      </c>
      <c r="C40" t="str">
        <f>+Catalogus!F30</f>
        <v>Grote bakwagen 45 kW</v>
      </c>
      <c r="D40" s="116">
        <f t="shared" si="1"/>
        <v>411109.82250000001</v>
      </c>
      <c r="E40" s="420">
        <v>399135.75</v>
      </c>
      <c r="F40" s="422">
        <v>1.03</v>
      </c>
      <c r="G40" s="422"/>
      <c r="H40" s="422"/>
      <c r="I40" s="422"/>
      <c r="J40" s="422"/>
      <c r="K40" s="422"/>
      <c r="L40" s="422"/>
      <c r="M40" s="422"/>
      <c r="N40" s="422"/>
    </row>
    <row r="41" spans="1:14" x14ac:dyDescent="0.15">
      <c r="A41" t="s">
        <v>671</v>
      </c>
      <c r="B41" t="s">
        <v>182</v>
      </c>
      <c r="C41" t="str">
        <f>+Catalogus!F31</f>
        <v>Lichte trekker z/opl 60 kW</v>
      </c>
      <c r="D41" s="116">
        <f t="shared" si="1"/>
        <v>484487.28</v>
      </c>
      <c r="E41" s="420">
        <v>470376</v>
      </c>
      <c r="F41" s="422">
        <v>1.03</v>
      </c>
      <c r="G41" s="422"/>
      <c r="H41" s="422"/>
      <c r="I41" s="422"/>
      <c r="J41" s="422"/>
      <c r="K41" s="422"/>
      <c r="L41" s="422"/>
      <c r="M41" s="422"/>
      <c r="N41" s="422"/>
    </row>
    <row r="42" spans="1:14" x14ac:dyDescent="0.15">
      <c r="A42" t="s">
        <v>671</v>
      </c>
      <c r="B42" t="s">
        <v>182</v>
      </c>
      <c r="C42" t="str">
        <f>+Catalogus!F32</f>
        <v>Zware trekker z/opl 80 kW</v>
      </c>
      <c r="D42" s="116">
        <f t="shared" si="1"/>
        <v>597740.41500000004</v>
      </c>
      <c r="E42" s="420">
        <v>580330.5</v>
      </c>
      <c r="F42" s="422">
        <v>1.03</v>
      </c>
      <c r="G42" s="422"/>
      <c r="H42" s="422"/>
      <c r="I42" s="422"/>
      <c r="J42" s="422"/>
      <c r="K42" s="422"/>
      <c r="L42" s="422"/>
      <c r="M42" s="422"/>
      <c r="N42" s="422"/>
    </row>
    <row r="43" spans="1:14" x14ac:dyDescent="0.15">
      <c r="A43" t="s">
        <v>115</v>
      </c>
      <c r="B43" s="120" t="s">
        <v>112</v>
      </c>
      <c r="C43" s="512" t="s">
        <v>113</v>
      </c>
      <c r="D43" s="116">
        <f t="shared" si="1"/>
        <v>29.09</v>
      </c>
      <c r="E43" s="420">
        <v>29.09</v>
      </c>
      <c r="F43" s="421">
        <v>1</v>
      </c>
      <c r="G43" s="422"/>
      <c r="H43" s="422"/>
      <c r="I43" s="422"/>
      <c r="J43" s="422"/>
      <c r="K43" s="422"/>
      <c r="L43" s="422"/>
      <c r="M43" s="422"/>
      <c r="N43" s="422"/>
    </row>
    <row r="44" spans="1:14" x14ac:dyDescent="0.15">
      <c r="A44" t="s">
        <v>115</v>
      </c>
      <c r="B44" s="120" t="s">
        <v>112</v>
      </c>
      <c r="C44" s="512" t="s">
        <v>114</v>
      </c>
      <c r="D44" s="116">
        <f t="shared" si="1"/>
        <v>0.9</v>
      </c>
      <c r="E44" s="420">
        <v>0.9</v>
      </c>
      <c r="F44" s="421">
        <v>1</v>
      </c>
      <c r="G44" s="422"/>
      <c r="H44" s="422"/>
      <c r="I44" s="422"/>
      <c r="J44" s="422"/>
      <c r="K44" s="422"/>
      <c r="L44" s="422"/>
      <c r="M44" s="422"/>
      <c r="N44" s="422"/>
    </row>
    <row r="45" spans="1:14" x14ac:dyDescent="0.15">
      <c r="A45" t="s">
        <v>115</v>
      </c>
      <c r="B45" s="120" t="s">
        <v>112</v>
      </c>
      <c r="C45" s="512" t="s">
        <v>115</v>
      </c>
      <c r="D45" s="116">
        <f t="shared" si="1"/>
        <v>0.49</v>
      </c>
      <c r="E45" s="420">
        <v>0.49</v>
      </c>
      <c r="F45" s="421">
        <v>1</v>
      </c>
      <c r="G45" s="422"/>
      <c r="H45" s="422"/>
      <c r="I45" s="422"/>
      <c r="J45" s="422"/>
      <c r="K45" s="422"/>
      <c r="L45" s="422"/>
      <c r="M45" s="422"/>
      <c r="N45" s="422"/>
    </row>
    <row r="46" spans="1:14" x14ac:dyDescent="0.15">
      <c r="A46" t="s">
        <v>115</v>
      </c>
      <c r="B46" s="120" t="s">
        <v>904</v>
      </c>
      <c r="C46" s="512" t="s">
        <v>121</v>
      </c>
      <c r="D46" s="519">
        <f t="shared" si="1"/>
        <v>9.4E-2</v>
      </c>
      <c r="E46" s="520">
        <v>9.4E-2</v>
      </c>
      <c r="F46" s="421">
        <v>1</v>
      </c>
      <c r="G46" s="422"/>
      <c r="H46" s="422"/>
      <c r="I46" s="422"/>
      <c r="J46" s="422"/>
      <c r="K46" s="422"/>
      <c r="L46" s="422"/>
      <c r="M46" s="422"/>
      <c r="N46" s="422"/>
    </row>
    <row r="47" spans="1:14" x14ac:dyDescent="0.15">
      <c r="A47" t="s">
        <v>115</v>
      </c>
      <c r="B47" s="120" t="s">
        <v>904</v>
      </c>
      <c r="C47" s="512" t="s">
        <v>122</v>
      </c>
      <c r="D47" s="519">
        <f t="shared" si="1"/>
        <v>2.9000000000000001E-2</v>
      </c>
      <c r="E47" s="520">
        <v>2.9000000000000001E-2</v>
      </c>
      <c r="F47" s="421">
        <v>1</v>
      </c>
      <c r="G47" s="422"/>
      <c r="H47" s="422"/>
      <c r="I47" s="422"/>
      <c r="J47" s="422"/>
      <c r="K47" s="422"/>
      <c r="L47" s="422"/>
      <c r="M47" s="422"/>
      <c r="N47" s="422"/>
    </row>
    <row r="48" spans="1:14" x14ac:dyDescent="0.15">
      <c r="A48" t="s">
        <v>115</v>
      </c>
      <c r="B48" s="120" t="s">
        <v>904</v>
      </c>
      <c r="C48" s="512" t="s">
        <v>123</v>
      </c>
      <c r="D48" s="519">
        <f t="shared" si="1"/>
        <v>5.6000000000000001E-2</v>
      </c>
      <c r="E48" s="520">
        <v>5.6000000000000001E-2</v>
      </c>
      <c r="F48" s="421">
        <v>1</v>
      </c>
      <c r="G48" s="422"/>
      <c r="H48" s="422"/>
      <c r="I48" s="422"/>
      <c r="J48" s="422"/>
      <c r="K48" s="422"/>
      <c r="L48" s="422"/>
      <c r="M48" s="422"/>
      <c r="N48" s="422"/>
    </row>
    <row r="49" spans="1:14" x14ac:dyDescent="0.15">
      <c r="A49" s="512" t="s">
        <v>671</v>
      </c>
      <c r="B49" s="524" t="s">
        <v>906</v>
      </c>
      <c r="C49" s="512" t="str">
        <f>Config!$B$246</f>
        <v>Koel unit Kleine bakwagen</v>
      </c>
      <c r="D49" s="116">
        <f t="shared" si="1"/>
        <v>17500</v>
      </c>
      <c r="E49" s="420">
        <v>17500</v>
      </c>
      <c r="F49" s="421">
        <v>1</v>
      </c>
      <c r="G49" s="422"/>
      <c r="H49" s="422"/>
      <c r="I49" s="422"/>
      <c r="J49" s="422"/>
      <c r="K49" s="422"/>
      <c r="L49" s="422"/>
      <c r="M49" s="422"/>
      <c r="N49" s="422"/>
    </row>
    <row r="50" spans="1:14" x14ac:dyDescent="0.15">
      <c r="A50" s="512" t="s">
        <v>671</v>
      </c>
      <c r="B50" s="524" t="s">
        <v>906</v>
      </c>
      <c r="C50" s="512" t="str">
        <f>Config!$B$247</f>
        <v>Koel unit Medium bakwagen</v>
      </c>
      <c r="D50" s="116">
        <f t="shared" si="1"/>
        <v>20000</v>
      </c>
      <c r="E50" s="420">
        <v>20000</v>
      </c>
      <c r="F50" s="421">
        <v>1</v>
      </c>
      <c r="G50" s="422"/>
      <c r="H50" s="422"/>
      <c r="I50" s="422"/>
      <c r="J50" s="422"/>
      <c r="K50" s="422"/>
      <c r="L50" s="422"/>
      <c r="M50" s="422"/>
      <c r="N50" s="422"/>
    </row>
    <row r="51" spans="1:14" x14ac:dyDescent="0.15">
      <c r="A51" s="512" t="s">
        <v>671</v>
      </c>
      <c r="B51" s="524" t="s">
        <v>906</v>
      </c>
      <c r="C51" s="512" t="str">
        <f>Config!$B$248</f>
        <v>Koel unit Grote bakwagen</v>
      </c>
      <c r="D51" s="116">
        <f t="shared" si="1"/>
        <v>22500</v>
      </c>
      <c r="E51" s="420">
        <v>22500</v>
      </c>
      <c r="F51" s="421">
        <v>1</v>
      </c>
      <c r="G51" s="422"/>
      <c r="H51" s="422"/>
      <c r="I51" s="422"/>
      <c r="J51" s="422"/>
      <c r="K51" s="422"/>
      <c r="L51" s="422"/>
      <c r="M51" s="422"/>
      <c r="N51" s="422"/>
    </row>
  </sheetData>
  <mergeCells count="1">
    <mergeCell ref="E1:M1"/>
  </mergeCells>
  <pageMargins left="0.7" right="0.7" top="0.75" bottom="0.75" header="0.3" footer="0.3"/>
  <pageSetup paperSize="0" orientation="portrait" horizontalDpi="0" verticalDpi="0" copies="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0" tint="-0.499984740745262"/>
  </sheetPr>
  <dimension ref="A1:CZ4"/>
  <sheetViews>
    <sheetView workbookViewId="0"/>
  </sheetViews>
  <sheetFormatPr defaultColWidth="17.42578125" defaultRowHeight="12.75" x14ac:dyDescent="0.15"/>
  <cols>
    <col min="1" max="14" width="17.42578125" style="205"/>
    <col min="15" max="17" width="17.42578125" style="208"/>
    <col min="18" max="18" width="17.42578125" style="209"/>
    <col min="19" max="19" width="17.42578125" style="208"/>
    <col min="20" max="23" width="17.42578125" style="205"/>
    <col min="24" max="28" width="17.42578125" style="209"/>
    <col min="29" max="35" width="17.42578125" style="205"/>
    <col min="36" max="37" width="17.42578125" style="210"/>
    <col min="38" max="38" width="17.42578125" style="205"/>
    <col min="39" max="39" width="17.42578125" style="208"/>
    <col min="40" max="41" width="17.42578125" style="209"/>
    <col min="42" max="99" width="17.42578125" style="205"/>
    <col min="100" max="100" width="21" style="211" bestFit="1" customWidth="1"/>
    <col min="101" max="103" width="17.42578125" style="211"/>
    <col min="104" max="104" width="20.28515625" style="211" bestFit="1" customWidth="1"/>
    <col min="105" max="16384" width="17.42578125" style="174"/>
  </cols>
  <sheetData>
    <row r="1" spans="1:104" s="173" customFormat="1" ht="84.75" customHeight="1" thickBot="1" x14ac:dyDescent="0.2">
      <c r="A1" s="176" t="s">
        <v>484</v>
      </c>
      <c r="B1" s="177" t="str">
        <f>Config!$B$200</f>
        <v>Voertuigscenario</v>
      </c>
      <c r="C1" s="177" t="str">
        <f>Config!$B$204</f>
        <v>Creatiedatum</v>
      </c>
      <c r="D1" s="177" t="str">
        <f>Config!$B$205</f>
        <v>Voertuigtype</v>
      </c>
      <c r="E1" s="177" t="str">
        <f>Config!$B$206</f>
        <v>Koelmachine (J/N)</v>
      </c>
      <c r="F1" s="178" t="str">
        <f>Config!$B$207</f>
        <v>Verwacht jaarkilometrage</v>
      </c>
      <c r="G1" s="177" t="str">
        <f>Config!$B$208</f>
        <v>Grijze/groene elektriciciteit</v>
      </c>
      <c r="H1" s="177" t="str">
        <f>Config!$B$209</f>
        <v>Grijze/groene waterstof</v>
      </c>
      <c r="I1" s="177" t="str">
        <f>Config!$B$210</f>
        <v>Rechtsvorm en belastingpercentage</v>
      </c>
      <c r="J1" s="177" t="str">
        <f>Config!$B$211</f>
        <v>Jaar prognose</v>
      </c>
      <c r="K1" s="179" t="str">
        <f>Config!$B$212</f>
        <v xml:space="preserve">Economische levensduur </v>
      </c>
      <c r="L1" s="180" t="str">
        <f>Config!$B$214</f>
        <v>Productieve uren per jaar</v>
      </c>
      <c r="M1" s="181" t="str">
        <f>Config!$B$215</f>
        <v>Kosten van reparaties</v>
      </c>
      <c r="N1" s="179" t="str">
        <f>Config!$B$218</f>
        <v xml:space="preserve">Capaciteit vrachtwagenbatterij (kWh) </v>
      </c>
      <c r="O1" s="182" t="str">
        <f>Config!$B$220</f>
        <v xml:space="preserve">Bruto aankoopprijs </v>
      </c>
      <c r="P1" s="182" t="str">
        <f>Config!$B$221</f>
        <v>Subsidies</v>
      </c>
      <c r="Q1" s="182" t="str">
        <f>Config!$B$222</f>
        <v>Netto aankoopprijs</v>
      </c>
      <c r="R1" s="183" t="str">
        <f>Config!$B$224</f>
        <v>Basisprijs energie</v>
      </c>
      <c r="S1" s="184" t="str">
        <f>Config!$B$213</f>
        <v xml:space="preserve">Restwaarde </v>
      </c>
      <c r="T1" s="179" t="str">
        <f>Config!$B$216</f>
        <v>Stilstand dagen per jaar</v>
      </c>
      <c r="U1" s="179" t="str">
        <f>Config!B217</f>
        <v>Vermogen eigen oplaadsysteem (kW)</v>
      </c>
      <c r="V1" s="179" t="str">
        <f>Config!B219</f>
        <v>Waterstof opslag tank (kg)</v>
      </c>
      <c r="W1" s="181" t="str">
        <f>Config!$B$223</f>
        <v>Netto kosten inkoop &amp; aanleg oplaadsysteem</v>
      </c>
      <c r="X1" s="185" t="str">
        <f>Config!$B$44</f>
        <v>Dieselaccijns</v>
      </c>
      <c r="Y1" s="185" t="str">
        <f>Config!$B$46</f>
        <v>Meerprijs tolheffing</v>
      </c>
      <c r="Z1" s="185" t="str">
        <f>Config!$B$47</f>
        <v>Aandeel snelweg kilometers</v>
      </c>
      <c r="AA1" s="185" t="str">
        <f>Config!$B$48</f>
        <v>Vaste ZE-Voertuigheffing</v>
      </c>
      <c r="AB1" s="185" t="str">
        <f>Config!$B$49</f>
        <v>CO2 prijs</v>
      </c>
      <c r="AC1" s="186" t="str">
        <f>Config!$B$226</f>
        <v>Scenario</v>
      </c>
      <c r="AD1" s="186" t="str">
        <f>Config!$B$227</f>
        <v>Scenario validiteit</v>
      </c>
      <c r="AE1" s="187" t="s">
        <v>466</v>
      </c>
      <c r="AF1" s="188" t="str">
        <f>Config!$B$228</f>
        <v>Voertuig</v>
      </c>
      <c r="AG1" s="188" t="str">
        <f>Config!B229</f>
        <v>Eigen oplaadsysteem</v>
      </c>
      <c r="AH1" s="188" t="str">
        <f>Config!$B$230</f>
        <v>Openbaar oplaadsysteem</v>
      </c>
      <c r="AI1" s="187" t="s">
        <v>468</v>
      </c>
      <c r="AJ1" s="189" t="str">
        <f>Config!$B$231</f>
        <v>Percentage eigen oplaadsysteem</v>
      </c>
      <c r="AK1" s="189" t="str">
        <f>Config!$B$232</f>
        <v>Percentage extern (openbaar) Oplaadsysteem</v>
      </c>
      <c r="AL1" s="190" t="s">
        <v>469</v>
      </c>
      <c r="AM1" s="191" t="str">
        <f>Config!$B$233</f>
        <v>Totale kosten per jaar</v>
      </c>
      <c r="AN1" s="192" t="str">
        <f>Config!$B$234</f>
        <v>Totale kosten per km</v>
      </c>
      <c r="AO1" s="192" t="str">
        <f>Config!$B$235</f>
        <v>Totale kosten per uur</v>
      </c>
      <c r="AP1" s="187" t="s">
        <v>470</v>
      </c>
      <c r="AQ1" s="193" t="str">
        <f>Config!$B$239</f>
        <v>Emissies (totaal per jaar voor het geselecteerde voertuig)</v>
      </c>
      <c r="AR1" s="193" t="str">
        <f>Config!$B$240</f>
        <v>CO2 emissies (ton per jaar, WtW)</v>
      </c>
      <c r="AS1" s="193" t="str">
        <f>Config!$B$241</f>
        <v>PM totaal (kg per jaar, TtW)</v>
      </c>
      <c r="AT1" s="193" t="str">
        <f>Config!$B$242</f>
        <v>NOx (kg per jaar, TtW)</v>
      </c>
      <c r="AU1" s="194" t="s">
        <v>471</v>
      </c>
      <c r="AV1" s="194" t="s">
        <v>472</v>
      </c>
      <c r="AW1" s="195" t="s">
        <v>78</v>
      </c>
      <c r="AX1" s="196" t="s">
        <v>79</v>
      </c>
      <c r="AY1" s="196" t="s">
        <v>80</v>
      </c>
      <c r="AZ1" s="196" t="s">
        <v>81</v>
      </c>
      <c r="BA1" s="196" t="s">
        <v>82</v>
      </c>
      <c r="BB1" s="196" t="s">
        <v>83</v>
      </c>
      <c r="BC1" s="197" t="s">
        <v>84</v>
      </c>
      <c r="BD1" s="196" t="s">
        <v>85</v>
      </c>
      <c r="BE1" s="196" t="s">
        <v>86</v>
      </c>
      <c r="BF1" s="198" t="s">
        <v>87</v>
      </c>
      <c r="BG1" s="199" t="s">
        <v>88</v>
      </c>
      <c r="BH1" s="199" t="s">
        <v>89</v>
      </c>
      <c r="BI1" s="199" t="s">
        <v>90</v>
      </c>
      <c r="BJ1" s="199" t="s">
        <v>91</v>
      </c>
      <c r="BK1" s="199" t="s">
        <v>92</v>
      </c>
      <c r="BL1" s="199" t="s">
        <v>93</v>
      </c>
      <c r="BM1" s="199" t="s">
        <v>94</v>
      </c>
      <c r="BN1" s="199" t="s">
        <v>95</v>
      </c>
      <c r="BO1" s="199" t="s">
        <v>96</v>
      </c>
      <c r="BP1" s="199" t="s">
        <v>97</v>
      </c>
      <c r="BQ1" s="199" t="s">
        <v>98</v>
      </c>
      <c r="BR1" s="197" t="s">
        <v>99</v>
      </c>
      <c r="BS1" s="197" t="s">
        <v>100</v>
      </c>
      <c r="BT1" s="197" t="s">
        <v>101</v>
      </c>
      <c r="BU1" s="199" t="s">
        <v>102</v>
      </c>
      <c r="BV1" s="199" t="s">
        <v>103</v>
      </c>
      <c r="BW1" s="198" t="s">
        <v>104</v>
      </c>
      <c r="BX1" s="199" t="s">
        <v>105</v>
      </c>
      <c r="BY1" s="199" t="s">
        <v>106</v>
      </c>
      <c r="BZ1" s="199" t="s">
        <v>107</v>
      </c>
      <c r="CA1" s="199" t="s">
        <v>108</v>
      </c>
      <c r="CB1" s="198"/>
      <c r="CC1" s="199" t="s">
        <v>109</v>
      </c>
      <c r="CD1" s="199" t="s">
        <v>110</v>
      </c>
      <c r="CE1" s="199" t="s">
        <v>111</v>
      </c>
      <c r="CF1" s="200"/>
      <c r="CG1" s="199" t="s">
        <v>112</v>
      </c>
      <c r="CH1" s="199" t="s">
        <v>113</v>
      </c>
      <c r="CI1" s="199" t="s">
        <v>114</v>
      </c>
      <c r="CJ1" s="199" t="s">
        <v>115</v>
      </c>
      <c r="CK1" s="199" t="s">
        <v>116</v>
      </c>
      <c r="CL1" s="201"/>
      <c r="CM1" s="196" t="s">
        <v>117</v>
      </c>
      <c r="CN1" s="196" t="s">
        <v>118</v>
      </c>
      <c r="CO1" s="196" t="s">
        <v>119</v>
      </c>
      <c r="CP1" s="201"/>
      <c r="CQ1" s="199" t="s">
        <v>120</v>
      </c>
      <c r="CR1" s="199" t="s">
        <v>121</v>
      </c>
      <c r="CS1" s="199" t="s">
        <v>122</v>
      </c>
      <c r="CT1" s="199" t="s">
        <v>123</v>
      </c>
      <c r="CU1" s="199" t="s">
        <v>124</v>
      </c>
      <c r="CV1" s="202" t="str">
        <f>Config!$B$236</f>
        <v>HBE Toepassen (J/N)</v>
      </c>
      <c r="CW1" s="202" t="str">
        <f>Config!$B$237</f>
        <v>Aantal HBE's</v>
      </c>
      <c r="CX1" s="202" t="s">
        <v>57</v>
      </c>
      <c r="CY1" s="202" t="s">
        <v>59</v>
      </c>
      <c r="CZ1" s="203" t="str">
        <f>Config!$B$238</f>
        <v>Totale waarde HBE's</v>
      </c>
    </row>
    <row r="2" spans="1:104" x14ac:dyDescent="0.15">
      <c r="A2" s="205" t="s">
        <v>494</v>
      </c>
      <c r="B2" s="205" t="s">
        <v>63</v>
      </c>
      <c r="C2" s="206">
        <v>44729</v>
      </c>
      <c r="D2" s="205" t="s">
        <v>13</v>
      </c>
      <c r="E2" s="205" t="s">
        <v>15</v>
      </c>
      <c r="F2" s="205">
        <v>70000</v>
      </c>
      <c r="G2" s="205" t="s">
        <v>20</v>
      </c>
      <c r="H2" s="205" t="s">
        <v>23</v>
      </c>
      <c r="I2" s="205" t="s">
        <v>25</v>
      </c>
      <c r="J2" s="205">
        <v>2021</v>
      </c>
      <c r="K2" s="205">
        <v>7</v>
      </c>
      <c r="L2" s="205">
        <v>2600</v>
      </c>
      <c r="M2" s="207">
        <v>1500</v>
      </c>
      <c r="N2" s="205" t="s">
        <v>67</v>
      </c>
      <c r="O2" s="208">
        <v>88750</v>
      </c>
      <c r="P2" s="208">
        <v>0</v>
      </c>
      <c r="Q2" s="208">
        <v>88750</v>
      </c>
      <c r="R2" s="209">
        <v>1.6</v>
      </c>
      <c r="S2" s="208">
        <v>20510.259999999998</v>
      </c>
      <c r="T2" s="205">
        <v>0</v>
      </c>
      <c r="U2" s="205" t="s">
        <v>67</v>
      </c>
      <c r="V2" s="205" t="s">
        <v>67</v>
      </c>
      <c r="W2" s="205" t="s">
        <v>67</v>
      </c>
      <c r="X2" s="209">
        <v>0.53</v>
      </c>
      <c r="Y2" s="209">
        <v>0</v>
      </c>
      <c r="Z2" s="209">
        <v>0</v>
      </c>
      <c r="AA2" s="209">
        <v>0</v>
      </c>
      <c r="AB2" s="209">
        <v>0</v>
      </c>
      <c r="AC2" s="205" t="s">
        <v>63</v>
      </c>
      <c r="AD2" s="205" t="s">
        <v>67</v>
      </c>
      <c r="AF2" s="205" t="s">
        <v>13</v>
      </c>
      <c r="AG2" s="205" t="s">
        <v>67</v>
      </c>
      <c r="AH2" s="205" t="s">
        <v>67</v>
      </c>
      <c r="AJ2" s="210" t="s">
        <v>67</v>
      </c>
      <c r="AK2" s="210" t="s">
        <v>67</v>
      </c>
      <c r="AM2" s="208">
        <v>138505.01978959292</v>
      </c>
      <c r="AN2" s="209">
        <v>1.9786431398513273</v>
      </c>
      <c r="AO2" s="209">
        <v>53.27116145753574</v>
      </c>
      <c r="AR2" s="205">
        <v>45.657259186752313</v>
      </c>
      <c r="AS2" s="205">
        <v>6.2592770289873965</v>
      </c>
      <c r="AT2" s="205">
        <v>64.838766671675643</v>
      </c>
      <c r="AY2" s="205">
        <v>315.12</v>
      </c>
      <c r="AZ2" s="205">
        <v>750</v>
      </c>
      <c r="BA2" s="205">
        <v>1447.69849816693</v>
      </c>
      <c r="BB2" s="205">
        <v>2662.5</v>
      </c>
      <c r="BC2" s="205">
        <v>0</v>
      </c>
      <c r="BD2" s="205">
        <v>73.83</v>
      </c>
      <c r="BE2" s="205">
        <v>5249.14849816693</v>
      </c>
      <c r="BH2" s="205">
        <v>9748.5337124859307</v>
      </c>
      <c r="BI2" s="205">
        <v>23240.582678487317</v>
      </c>
      <c r="BJ2" s="205">
        <v>0</v>
      </c>
      <c r="BK2" s="205">
        <v>0</v>
      </c>
      <c r="BL2" s="205">
        <v>0</v>
      </c>
      <c r="BM2" s="205">
        <v>149.61423981923249</v>
      </c>
      <c r="BN2" s="205">
        <v>1344.0000000000002</v>
      </c>
      <c r="BO2" s="205">
        <v>3850</v>
      </c>
      <c r="BP2" s="205">
        <v>1500</v>
      </c>
      <c r="BQ2" s="205">
        <v>0</v>
      </c>
      <c r="BR2" s="205">
        <v>0</v>
      </c>
      <c r="BS2" s="205">
        <v>0</v>
      </c>
      <c r="BT2" s="205">
        <v>0</v>
      </c>
      <c r="BU2" s="205">
        <v>375</v>
      </c>
      <c r="BV2" s="205">
        <v>40207.730630792481</v>
      </c>
      <c r="BY2" s="205">
        <v>0</v>
      </c>
      <c r="BZ2" s="205">
        <v>0</v>
      </c>
      <c r="CA2" s="205">
        <v>0</v>
      </c>
      <c r="CC2" s="205">
        <v>45456.879128959408</v>
      </c>
      <c r="CD2" s="205">
        <v>0.64938398755656301</v>
      </c>
      <c r="CE2" s="205">
        <v>17.483415049599774</v>
      </c>
      <c r="CH2" s="205">
        <v>70538</v>
      </c>
      <c r="CI2" s="205">
        <v>2210</v>
      </c>
      <c r="CJ2" s="205">
        <v>1196</v>
      </c>
      <c r="CK2" s="205">
        <v>73944</v>
      </c>
      <c r="CM2" s="205">
        <v>119400.87912895941</v>
      </c>
      <c r="CN2" s="205">
        <v>1.70572684469942</v>
      </c>
      <c r="CO2" s="205">
        <v>45.923415049599775</v>
      </c>
      <c r="CR2" s="205">
        <v>10029.673846832591</v>
      </c>
      <c r="CS2" s="205">
        <v>3104.4228573529444</v>
      </c>
      <c r="CT2" s="205">
        <v>5970.0439564479711</v>
      </c>
      <c r="CU2" s="205">
        <v>19104.140660633508</v>
      </c>
    </row>
    <row r="3" spans="1:104" x14ac:dyDescent="0.15">
      <c r="A3" s="205" t="s">
        <v>494</v>
      </c>
      <c r="B3" s="205" t="s">
        <v>63</v>
      </c>
      <c r="C3" s="206">
        <v>44729</v>
      </c>
      <c r="D3" s="205" t="s">
        <v>13</v>
      </c>
      <c r="E3" s="205" t="s">
        <v>15</v>
      </c>
      <c r="F3" s="205">
        <v>70000</v>
      </c>
      <c r="G3" s="205" t="s">
        <v>20</v>
      </c>
      <c r="H3" s="205" t="s">
        <v>23</v>
      </c>
      <c r="I3" s="205" t="s">
        <v>25</v>
      </c>
      <c r="J3" s="205">
        <v>2021</v>
      </c>
      <c r="K3" s="205">
        <v>10</v>
      </c>
      <c r="L3" s="205">
        <v>2580</v>
      </c>
      <c r="M3" s="207">
        <v>5000</v>
      </c>
      <c r="N3" s="205">
        <v>180</v>
      </c>
      <c r="O3" s="208">
        <v>183250</v>
      </c>
      <c r="P3" s="208">
        <v>17621.55</v>
      </c>
      <c r="Q3" s="208">
        <v>165794.5</v>
      </c>
      <c r="R3" s="209">
        <v>0.08</v>
      </c>
      <c r="S3" s="208">
        <v>22573.22</v>
      </c>
      <c r="T3" s="205">
        <v>2</v>
      </c>
      <c r="U3" s="205">
        <v>20</v>
      </c>
      <c r="V3" s="205" t="s">
        <v>67</v>
      </c>
      <c r="W3" s="207">
        <v>2908.95</v>
      </c>
      <c r="X3" s="209">
        <v>0.53</v>
      </c>
      <c r="Y3" s="209">
        <v>0</v>
      </c>
      <c r="Z3" s="209">
        <v>0</v>
      </c>
      <c r="AA3" s="209">
        <v>0</v>
      </c>
      <c r="AB3" s="209">
        <v>0</v>
      </c>
      <c r="AC3" s="205" t="s">
        <v>64</v>
      </c>
      <c r="AD3" s="205" t="s">
        <v>474</v>
      </c>
      <c r="AF3" s="205" t="s">
        <v>181</v>
      </c>
      <c r="AG3" s="205" t="s">
        <v>255</v>
      </c>
      <c r="AH3" s="205" t="s">
        <v>259</v>
      </c>
      <c r="AJ3" s="210">
        <v>0.56444010086310603</v>
      </c>
      <c r="AK3" s="210">
        <v>0.43555989913689397</v>
      </c>
      <c r="AM3" s="208">
        <v>149885.83148180239</v>
      </c>
      <c r="AN3" s="209">
        <v>2.1412261640257486</v>
      </c>
      <c r="AO3" s="209">
        <v>58.095283520078446</v>
      </c>
      <c r="AR3" s="205">
        <v>0</v>
      </c>
      <c r="AS3" s="205">
        <v>5.6844816480881075</v>
      </c>
      <c r="AT3" s="205" t="s">
        <v>67</v>
      </c>
      <c r="AY3" s="205">
        <v>0</v>
      </c>
      <c r="AZ3" s="205">
        <v>750</v>
      </c>
      <c r="BA3" s="205">
        <v>2495.8723140356492</v>
      </c>
      <c r="BB3" s="205">
        <v>5497.5</v>
      </c>
      <c r="BC3" s="205">
        <v>0</v>
      </c>
      <c r="BD3" s="205">
        <v>73.83</v>
      </c>
      <c r="BE3" s="205">
        <v>8817.2023140356487</v>
      </c>
      <c r="BH3" s="205">
        <v>14322.127818598872</v>
      </c>
      <c r="BI3" s="205">
        <v>0</v>
      </c>
      <c r="BJ3" s="205">
        <v>0</v>
      </c>
      <c r="BK3" s="205">
        <v>16992.860148796681</v>
      </c>
      <c r="BL3" s="205">
        <v>0</v>
      </c>
      <c r="BM3" s="205">
        <v>0</v>
      </c>
      <c r="BN3" s="205">
        <v>1344.0000000000002</v>
      </c>
      <c r="BO3" s="205">
        <v>1925</v>
      </c>
      <c r="BP3" s="205">
        <v>5000</v>
      </c>
      <c r="BQ3" s="205">
        <v>0</v>
      </c>
      <c r="BR3" s="205">
        <v>0</v>
      </c>
      <c r="BS3" s="205">
        <v>0</v>
      </c>
      <c r="BT3" s="205">
        <v>0</v>
      </c>
      <c r="BU3" s="205">
        <v>375</v>
      </c>
      <c r="BV3" s="205">
        <v>39958.987967395551</v>
      </c>
      <c r="BY3" s="205">
        <v>290.8949999999997</v>
      </c>
      <c r="BZ3" s="205">
        <v>1334</v>
      </c>
      <c r="CA3" s="205">
        <v>1624.8949999999998</v>
      </c>
      <c r="CC3" s="205">
        <v>50401.085281431195</v>
      </c>
      <c r="CD3" s="205">
        <v>0.72001550402044567</v>
      </c>
      <c r="CE3" s="205">
        <v>19.535304372647751</v>
      </c>
      <c r="CH3" s="205">
        <v>75180.662660241607</v>
      </c>
      <c r="CI3" s="205">
        <v>2355.4575474089702</v>
      </c>
      <c r="CJ3" s="205">
        <v>1274.7182021272076</v>
      </c>
      <c r="CK3" s="205">
        <v>78810.838409777774</v>
      </c>
      <c r="CM3" s="205">
        <v>129211.92369120897</v>
      </c>
      <c r="CN3" s="205">
        <v>1.8458846241601281</v>
      </c>
      <c r="CO3" s="205">
        <v>50.08214096558487</v>
      </c>
      <c r="CR3" s="205">
        <v>10853.801590061554</v>
      </c>
      <c r="CS3" s="205">
        <v>3359.5100159714329</v>
      </c>
      <c r="CT3" s="205">
        <v>6460.5961845604488</v>
      </c>
      <c r="CU3" s="205">
        <v>20673.907790593435</v>
      </c>
      <c r="CV3" s="211" t="s">
        <v>53</v>
      </c>
      <c r="CW3" s="211">
        <v>955</v>
      </c>
      <c r="CX3" s="211">
        <v>1</v>
      </c>
      <c r="CY3" s="211">
        <v>18</v>
      </c>
      <c r="CZ3" s="211">
        <v>0</v>
      </c>
    </row>
    <row r="4" spans="1:104" x14ac:dyDescent="0.15">
      <c r="A4" s="205" t="s">
        <v>494</v>
      </c>
      <c r="B4" s="205" t="s">
        <v>63</v>
      </c>
      <c r="C4" s="206">
        <v>44729</v>
      </c>
      <c r="D4" s="205" t="s">
        <v>13</v>
      </c>
      <c r="E4" s="205" t="s">
        <v>15</v>
      </c>
      <c r="F4" s="205">
        <v>70000</v>
      </c>
      <c r="G4" s="205" t="s">
        <v>20</v>
      </c>
      <c r="H4" s="205" t="s">
        <v>23</v>
      </c>
      <c r="I4" s="205" t="s">
        <v>25</v>
      </c>
      <c r="J4" s="205">
        <v>2021</v>
      </c>
      <c r="K4" s="205">
        <v>10</v>
      </c>
      <c r="L4" s="205">
        <v>2550</v>
      </c>
      <c r="M4" s="207">
        <v>10000</v>
      </c>
      <c r="N4" s="205">
        <v>150</v>
      </c>
      <c r="O4" s="208">
        <v>349715.25</v>
      </c>
      <c r="P4" s="208">
        <v>39761.839999999997</v>
      </c>
      <c r="Q4" s="208">
        <v>309953.40999999997</v>
      </c>
      <c r="R4" s="209">
        <v>10</v>
      </c>
      <c r="S4" s="208">
        <v>43078.85</v>
      </c>
      <c r="T4" s="205">
        <v>5</v>
      </c>
      <c r="U4" s="205" t="s">
        <v>67</v>
      </c>
      <c r="V4" s="205">
        <v>15</v>
      </c>
      <c r="W4" s="205" t="s">
        <v>67</v>
      </c>
      <c r="X4" s="209">
        <v>0.53</v>
      </c>
      <c r="Y4" s="209">
        <v>0</v>
      </c>
      <c r="Z4" s="209">
        <v>0</v>
      </c>
      <c r="AA4" s="209">
        <v>0</v>
      </c>
      <c r="AB4" s="209">
        <v>0</v>
      </c>
      <c r="AC4" s="205" t="s">
        <v>11</v>
      </c>
      <c r="AD4" s="205" t="s">
        <v>67</v>
      </c>
      <c r="AF4" s="205" t="s">
        <v>184</v>
      </c>
      <c r="AG4" s="205" t="s">
        <v>67</v>
      </c>
      <c r="AH4" s="205" t="s">
        <v>67</v>
      </c>
      <c r="AJ4" s="210" t="s">
        <v>67</v>
      </c>
      <c r="AK4" s="210" t="s">
        <v>67</v>
      </c>
      <c r="AM4" s="208">
        <v>177317.91800841462</v>
      </c>
      <c r="AN4" s="209">
        <v>2.5331131144059231</v>
      </c>
      <c r="AO4" s="209">
        <v>69.536438434672405</v>
      </c>
      <c r="AR4" s="205">
        <v>0</v>
      </c>
      <c r="AS4" s="205">
        <v>5.6844816480881075</v>
      </c>
      <c r="AT4" s="205" t="s">
        <v>67</v>
      </c>
      <c r="AY4" s="205">
        <v>0</v>
      </c>
      <c r="AZ4" s="205">
        <v>750</v>
      </c>
      <c r="BA4" s="205">
        <v>4677.6774454423239</v>
      </c>
      <c r="BB4" s="205">
        <v>10491.4575</v>
      </c>
      <c r="BC4" s="205">
        <v>0</v>
      </c>
      <c r="BD4" s="205">
        <v>73.83</v>
      </c>
      <c r="BE4" s="205">
        <v>15992.964945442325</v>
      </c>
      <c r="BH4" s="205">
        <v>26687.455296661716</v>
      </c>
      <c r="BI4" s="205">
        <v>0</v>
      </c>
      <c r="BJ4" s="205">
        <v>0</v>
      </c>
      <c r="BK4" s="205">
        <v>0</v>
      </c>
      <c r="BL4" s="205">
        <v>43869.853903080984</v>
      </c>
      <c r="BM4" s="205">
        <v>0</v>
      </c>
      <c r="BN4" s="205">
        <v>1344.0000000000002</v>
      </c>
      <c r="BO4" s="205">
        <v>5775</v>
      </c>
      <c r="BP4" s="205">
        <v>10000</v>
      </c>
      <c r="BQ4" s="205">
        <v>0</v>
      </c>
      <c r="BR4" s="205">
        <v>0</v>
      </c>
      <c r="BS4" s="205">
        <v>0</v>
      </c>
      <c r="BT4" s="205">
        <v>-23706</v>
      </c>
      <c r="BU4" s="205">
        <v>375</v>
      </c>
      <c r="BV4" s="205">
        <v>64345.309199742696</v>
      </c>
      <c r="BY4" s="205">
        <v>0</v>
      </c>
      <c r="BZ4" s="205">
        <v>0</v>
      </c>
      <c r="CA4" s="205">
        <v>0</v>
      </c>
      <c r="CC4" s="205">
        <v>80338.274145185016</v>
      </c>
      <c r="CD4" s="205">
        <v>1.1476896306455002</v>
      </c>
      <c r="CE4" s="205">
        <v>31.505205547131379</v>
      </c>
      <c r="CH4" s="205">
        <v>69181.5</v>
      </c>
      <c r="CI4" s="205">
        <v>2167.5</v>
      </c>
      <c r="CJ4" s="205">
        <v>1173</v>
      </c>
      <c r="CK4" s="205">
        <v>72522</v>
      </c>
      <c r="CM4" s="205">
        <v>152860.27414518502</v>
      </c>
      <c r="CN4" s="205">
        <v>2.1837182020740715</v>
      </c>
      <c r="CO4" s="205">
        <v>59.94520554713138</v>
      </c>
      <c r="CR4" s="205">
        <v>12840.263028195543</v>
      </c>
      <c r="CS4" s="205">
        <v>3974.3671277748103</v>
      </c>
      <c r="CT4" s="205">
        <v>7643.0137072592515</v>
      </c>
      <c r="CU4" s="205">
        <v>24457.643863229605</v>
      </c>
      <c r="CV4" s="211" t="s">
        <v>35</v>
      </c>
      <c r="CW4" s="211">
        <v>1317</v>
      </c>
      <c r="CY4" s="211">
        <v>18</v>
      </c>
      <c r="CZ4" s="211">
        <v>23706</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0" tint="-0.499984740745262"/>
  </sheetPr>
  <dimension ref="B1:H96"/>
  <sheetViews>
    <sheetView workbookViewId="0"/>
  </sheetViews>
  <sheetFormatPr defaultRowHeight="10.5" x14ac:dyDescent="0.15"/>
  <cols>
    <col min="2" max="2" width="11.28515625" bestFit="1" customWidth="1"/>
    <col min="3" max="3" width="20" bestFit="1" customWidth="1"/>
    <col min="4" max="4" width="23.28515625" bestFit="1" customWidth="1"/>
    <col min="5" max="5" width="21.42578125" bestFit="1" customWidth="1"/>
    <col min="6" max="6" width="16" bestFit="1" customWidth="1"/>
    <col min="7" max="7" width="24.42578125" bestFit="1" customWidth="1"/>
    <col min="8" max="8" width="14.140625" bestFit="1" customWidth="1"/>
  </cols>
  <sheetData>
    <row r="1" spans="2:7" x14ac:dyDescent="0.15">
      <c r="D1" t="s">
        <v>505</v>
      </c>
      <c r="E1" t="s">
        <v>504</v>
      </c>
    </row>
    <row r="2" spans="2:7" x14ac:dyDescent="0.15">
      <c r="B2" t="s">
        <v>508</v>
      </c>
      <c r="D2" s="240">
        <f>Parameters!B25</f>
        <v>0.01</v>
      </c>
      <c r="E2" s="121">
        <f>(1-(1+D2)^DV_age)/(1-(1+D2))/DV_age</f>
        <v>1.0305050301001395</v>
      </c>
    </row>
    <row r="3" spans="2:7" x14ac:dyDescent="0.15">
      <c r="D3" s="240"/>
      <c r="E3" s="121"/>
    </row>
    <row r="4" spans="2:7" x14ac:dyDescent="0.15">
      <c r="B4" t="s">
        <v>507</v>
      </c>
      <c r="C4" t="s">
        <v>509</v>
      </c>
      <c r="D4" s="240">
        <f>Parameters!B26</f>
        <v>1.6E-2</v>
      </c>
      <c r="E4" s="121"/>
    </row>
    <row r="5" spans="2:7" x14ac:dyDescent="0.15">
      <c r="C5" t="s">
        <v>107</v>
      </c>
      <c r="D5" s="240">
        <f>Parameters!B27</f>
        <v>1.6E-2</v>
      </c>
      <c r="E5" s="121"/>
    </row>
    <row r="6" spans="2:7" x14ac:dyDescent="0.15">
      <c r="B6" t="s">
        <v>506</v>
      </c>
      <c r="C6" t="s">
        <v>249</v>
      </c>
      <c r="D6" s="240">
        <f>Parameters!B28</f>
        <v>0.01</v>
      </c>
      <c r="E6" s="121">
        <f>(1-(1+D6)^EV_age)/(1-(1+D6))/EV_age</f>
        <v>1.0305050301001395</v>
      </c>
    </row>
    <row r="7" spans="2:7" x14ac:dyDescent="0.15">
      <c r="B7" t="s">
        <v>506</v>
      </c>
      <c r="C7" t="s">
        <v>510</v>
      </c>
      <c r="D7" s="240">
        <f>Parameters!B29</f>
        <v>0.01</v>
      </c>
      <c r="E7" s="121">
        <f>(1-(1+D7)^EV_age)/(1-(1+D7))/EV_age</f>
        <v>1.0305050301001395</v>
      </c>
    </row>
    <row r="8" spans="2:7" x14ac:dyDescent="0.15">
      <c r="B8" t="s">
        <v>506</v>
      </c>
      <c r="C8" t="s">
        <v>511</v>
      </c>
      <c r="D8" s="240">
        <f>Parameters!B30</f>
        <v>0.01</v>
      </c>
      <c r="E8" s="121">
        <f>(1-(1+D8)^EV_age)/(1-(1+D8))/EV_age</f>
        <v>1.0305050301001395</v>
      </c>
    </row>
    <row r="10" spans="2:7" x14ac:dyDescent="0.15">
      <c r="D10" t="s">
        <v>520</v>
      </c>
    </row>
    <row r="11" spans="2:7" x14ac:dyDescent="0.15">
      <c r="B11" t="s">
        <v>521</v>
      </c>
      <c r="D11" s="241">
        <f>Parameters!B31</f>
        <v>0.94</v>
      </c>
    </row>
    <row r="12" spans="2:7" x14ac:dyDescent="0.15">
      <c r="F12" s="242" t="s">
        <v>522</v>
      </c>
      <c r="G12" s="242" t="s">
        <v>522</v>
      </c>
    </row>
    <row r="13" spans="2:7" x14ac:dyDescent="0.15">
      <c r="B13" s="242"/>
      <c r="C13" s="242"/>
      <c r="D13" s="242"/>
      <c r="E13" s="242"/>
      <c r="F13" s="242" t="s">
        <v>523</v>
      </c>
      <c r="G13" s="242" t="s">
        <v>524</v>
      </c>
    </row>
    <row r="14" spans="2:7" x14ac:dyDescent="0.15">
      <c r="B14" s="242"/>
      <c r="C14" s="242" t="s">
        <v>525</v>
      </c>
      <c r="D14" s="242" t="s">
        <v>526</v>
      </c>
      <c r="E14" s="242" t="s">
        <v>527</v>
      </c>
      <c r="F14" s="242">
        <f>Calculatie!C26</f>
        <v>260</v>
      </c>
      <c r="G14" s="242">
        <f>Calculatie!D26</f>
        <v>140</v>
      </c>
    </row>
    <row r="15" spans="2:7" x14ac:dyDescent="0.15">
      <c r="B15" s="242">
        <f>C15-MIN($C$15:$C$24)</f>
        <v>0</v>
      </c>
      <c r="C15" s="242">
        <f>Invoervelden!H2</f>
        <v>2022</v>
      </c>
      <c r="D15" s="243">
        <f>Parameters!B15</f>
        <v>525</v>
      </c>
      <c r="E15" s="243">
        <f>ROUND(D15,0)</f>
        <v>525</v>
      </c>
      <c r="F15" s="244">
        <f>E15*$F$14</f>
        <v>136500</v>
      </c>
      <c r="G15" s="244">
        <f>E15*$G$14</f>
        <v>73500</v>
      </c>
    </row>
    <row r="16" spans="2:7" x14ac:dyDescent="0.15">
      <c r="B16" s="242">
        <f t="shared" ref="B16:B24" si="0">C16-MIN($C$15:$C$24)</f>
        <v>1</v>
      </c>
      <c r="C16" s="242">
        <f>C15+1</f>
        <v>2023</v>
      </c>
      <c r="D16" s="243">
        <f>D15*$D$11</f>
        <v>493.5</v>
      </c>
      <c r="E16" s="243">
        <f t="shared" ref="E16:E24" si="1">ROUND(D16,0)</f>
        <v>494</v>
      </c>
      <c r="F16" s="244">
        <f t="shared" ref="F16:F24" si="2">E16*$F$14</f>
        <v>128440</v>
      </c>
      <c r="G16" s="244">
        <f t="shared" ref="G16:G24" si="3">E16*$G$14</f>
        <v>69160</v>
      </c>
    </row>
    <row r="17" spans="2:7" x14ac:dyDescent="0.15">
      <c r="B17" s="242">
        <f t="shared" si="0"/>
        <v>2</v>
      </c>
      <c r="C17" s="242">
        <f t="shared" ref="C17:C24" si="4">C16+1</f>
        <v>2024</v>
      </c>
      <c r="D17" s="243">
        <f>D16*$D$11</f>
        <v>463.89</v>
      </c>
      <c r="E17" s="243">
        <f t="shared" si="1"/>
        <v>464</v>
      </c>
      <c r="F17" s="244">
        <f t="shared" si="2"/>
        <v>120640</v>
      </c>
      <c r="G17" s="244">
        <f t="shared" si="3"/>
        <v>64960</v>
      </c>
    </row>
    <row r="18" spans="2:7" x14ac:dyDescent="0.15">
      <c r="B18" s="242">
        <f t="shared" si="0"/>
        <v>3</v>
      </c>
      <c r="C18" s="242">
        <f t="shared" si="4"/>
        <v>2025</v>
      </c>
      <c r="D18" s="243">
        <f t="shared" ref="D18:D22" si="5">D17*$D$11</f>
        <v>436.05659999999995</v>
      </c>
      <c r="E18" s="243">
        <f t="shared" si="1"/>
        <v>436</v>
      </c>
      <c r="F18" s="244">
        <f t="shared" si="2"/>
        <v>113360</v>
      </c>
      <c r="G18" s="244">
        <f t="shared" si="3"/>
        <v>61040</v>
      </c>
    </row>
    <row r="19" spans="2:7" x14ac:dyDescent="0.15">
      <c r="B19" s="242">
        <f t="shared" si="0"/>
        <v>4</v>
      </c>
      <c r="C19" s="242">
        <f t="shared" si="4"/>
        <v>2026</v>
      </c>
      <c r="D19" s="243">
        <f t="shared" si="5"/>
        <v>409.89320399999991</v>
      </c>
      <c r="E19" s="243">
        <f t="shared" si="1"/>
        <v>410</v>
      </c>
      <c r="F19" s="244">
        <f t="shared" si="2"/>
        <v>106600</v>
      </c>
      <c r="G19" s="244">
        <f t="shared" si="3"/>
        <v>57400</v>
      </c>
    </row>
    <row r="20" spans="2:7" x14ac:dyDescent="0.15">
      <c r="B20" s="242">
        <f t="shared" si="0"/>
        <v>5</v>
      </c>
      <c r="C20" s="242">
        <f t="shared" si="4"/>
        <v>2027</v>
      </c>
      <c r="D20" s="243">
        <f t="shared" si="5"/>
        <v>385.29961175999989</v>
      </c>
      <c r="E20" s="243">
        <f t="shared" si="1"/>
        <v>385</v>
      </c>
      <c r="F20" s="244">
        <f t="shared" si="2"/>
        <v>100100</v>
      </c>
      <c r="G20" s="244">
        <f t="shared" si="3"/>
        <v>53900</v>
      </c>
    </row>
    <row r="21" spans="2:7" x14ac:dyDescent="0.15">
      <c r="B21" s="242">
        <f t="shared" si="0"/>
        <v>6</v>
      </c>
      <c r="C21" s="242">
        <f t="shared" si="4"/>
        <v>2028</v>
      </c>
      <c r="D21" s="243">
        <f t="shared" si="5"/>
        <v>362.18163505439986</v>
      </c>
      <c r="E21" s="243">
        <f t="shared" si="1"/>
        <v>362</v>
      </c>
      <c r="F21" s="244">
        <f t="shared" si="2"/>
        <v>94120</v>
      </c>
      <c r="G21" s="244">
        <f t="shared" si="3"/>
        <v>50680</v>
      </c>
    </row>
    <row r="22" spans="2:7" x14ac:dyDescent="0.15">
      <c r="B22" s="242">
        <f t="shared" si="0"/>
        <v>7</v>
      </c>
      <c r="C22" s="242">
        <f t="shared" si="4"/>
        <v>2029</v>
      </c>
      <c r="D22" s="243">
        <f t="shared" si="5"/>
        <v>340.45073695113587</v>
      </c>
      <c r="E22" s="243">
        <f t="shared" si="1"/>
        <v>340</v>
      </c>
      <c r="F22" s="244">
        <f t="shared" si="2"/>
        <v>88400</v>
      </c>
      <c r="G22" s="244">
        <f t="shared" si="3"/>
        <v>47600</v>
      </c>
    </row>
    <row r="23" spans="2:7" x14ac:dyDescent="0.15">
      <c r="B23" s="242">
        <f t="shared" si="0"/>
        <v>8</v>
      </c>
      <c r="C23" s="242">
        <f t="shared" si="4"/>
        <v>2030</v>
      </c>
      <c r="D23" s="243">
        <f>D22*$D$11</f>
        <v>320.02369273406771</v>
      </c>
      <c r="E23" s="243">
        <f t="shared" si="1"/>
        <v>320</v>
      </c>
      <c r="F23" s="244">
        <f t="shared" si="2"/>
        <v>83200</v>
      </c>
      <c r="G23" s="244">
        <f t="shared" si="3"/>
        <v>44800</v>
      </c>
    </row>
    <row r="24" spans="2:7" x14ac:dyDescent="0.15">
      <c r="B24" s="242">
        <f t="shared" si="0"/>
        <v>9</v>
      </c>
      <c r="C24" s="242">
        <f t="shared" si="4"/>
        <v>2031</v>
      </c>
      <c r="D24" s="243">
        <f>D23*$D$11</f>
        <v>300.82227117002361</v>
      </c>
      <c r="E24" s="243">
        <f t="shared" si="1"/>
        <v>301</v>
      </c>
      <c r="F24" s="244">
        <f t="shared" si="2"/>
        <v>78260</v>
      </c>
      <c r="G24" s="244">
        <f t="shared" si="3"/>
        <v>42140</v>
      </c>
    </row>
    <row r="26" spans="2:7" x14ac:dyDescent="0.15">
      <c r="B26" s="242" t="s">
        <v>528</v>
      </c>
      <c r="C26" s="242"/>
      <c r="D26" s="245">
        <f>D2</f>
        <v>0.01</v>
      </c>
    </row>
    <row r="28" spans="2:7" x14ac:dyDescent="0.15">
      <c r="B28" s="242" t="s">
        <v>529</v>
      </c>
      <c r="C28" s="242">
        <v>2030</v>
      </c>
      <c r="D28" s="246">
        <v>0.3</v>
      </c>
      <c r="E28" s="245">
        <f>D28/B43</f>
        <v>3.3333333333333333E-2</v>
      </c>
      <c r="G28" s="247" t="s">
        <v>530</v>
      </c>
    </row>
    <row r="29" spans="2:7" x14ac:dyDescent="0.15">
      <c r="B29" s="242"/>
      <c r="C29" s="242"/>
      <c r="D29" s="246">
        <v>0.4</v>
      </c>
      <c r="E29" s="245">
        <f>(D29-D28)/(B62-B43)</f>
        <v>5.2631578947368437E-3</v>
      </c>
      <c r="G29" s="247" t="s">
        <v>531</v>
      </c>
    </row>
    <row r="30" spans="2:7" x14ac:dyDescent="0.15">
      <c r="B30" s="242" t="s">
        <v>532</v>
      </c>
      <c r="C30" s="242"/>
      <c r="D30" s="242"/>
      <c r="E30" s="248">
        <v>1.6E-2</v>
      </c>
    </row>
    <row r="33" spans="2:5" x14ac:dyDescent="0.15">
      <c r="B33" s="242"/>
      <c r="C33" s="242" t="s">
        <v>525</v>
      </c>
      <c r="D33" s="242" t="s">
        <v>535</v>
      </c>
      <c r="E33" s="242" t="s">
        <v>536</v>
      </c>
    </row>
    <row r="34" spans="2:5" x14ac:dyDescent="0.15">
      <c r="B34" s="242">
        <f>C34-MIN($C$34:$C$62)</f>
        <v>0</v>
      </c>
      <c r="C34" s="242">
        <f>Invoervelden!H2</f>
        <v>2022</v>
      </c>
      <c r="D34" s="249">
        <v>1</v>
      </c>
      <c r="E34" s="246">
        <f>Parameters!B36</f>
        <v>1.41</v>
      </c>
    </row>
    <row r="35" spans="2:5" x14ac:dyDescent="0.15">
      <c r="B35" s="242">
        <f t="shared" ref="B35:B62" si="6">C35-MIN($C$34:$C$62)</f>
        <v>1</v>
      </c>
      <c r="C35" s="242">
        <f>C34+1</f>
        <v>2023</v>
      </c>
      <c r="D35" s="249">
        <f t="shared" ref="D35:D41" si="7">IF(C35&lt;$C$28+1,$E$28,$E$29)+D34</f>
        <v>1.0333333333333334</v>
      </c>
      <c r="E35" s="246">
        <f>IF(C35&lt;Parameters!$B$38+1,-Parameters!$B$37,0)+E34</f>
        <v>1.3884210526315788</v>
      </c>
    </row>
    <row r="36" spans="2:5" x14ac:dyDescent="0.15">
      <c r="B36" s="242">
        <f t="shared" si="6"/>
        <v>2</v>
      </c>
      <c r="C36" s="242">
        <f t="shared" ref="C36:C62" si="8">C35+1</f>
        <v>2024</v>
      </c>
      <c r="D36" s="249">
        <f t="shared" si="7"/>
        <v>1.0666666666666669</v>
      </c>
      <c r="E36" s="246">
        <f>IF(C36&lt;Parameters!$B$38+1,-Parameters!$B$37,0)+E35</f>
        <v>1.3668421052631576</v>
      </c>
    </row>
    <row r="37" spans="2:5" x14ac:dyDescent="0.15">
      <c r="B37" s="242">
        <f t="shared" si="6"/>
        <v>3</v>
      </c>
      <c r="C37" s="242">
        <f t="shared" si="8"/>
        <v>2025</v>
      </c>
      <c r="D37" s="249">
        <f t="shared" si="7"/>
        <v>1.1000000000000003</v>
      </c>
      <c r="E37" s="246">
        <f>IF(C37&lt;Parameters!$B$38+1,-Parameters!$B$37,0)+E36</f>
        <v>1.3452631578947365</v>
      </c>
    </row>
    <row r="38" spans="2:5" x14ac:dyDescent="0.15">
      <c r="B38" s="242">
        <f t="shared" si="6"/>
        <v>4</v>
      </c>
      <c r="C38" s="242">
        <f t="shared" si="8"/>
        <v>2026</v>
      </c>
      <c r="D38" s="249">
        <f t="shared" si="7"/>
        <v>1.1333333333333337</v>
      </c>
      <c r="E38" s="246">
        <f>IF(C38&lt;Parameters!$B$38+1,-Parameters!$B$37,0)+E37</f>
        <v>1.3236842105263154</v>
      </c>
    </row>
    <row r="39" spans="2:5" x14ac:dyDescent="0.15">
      <c r="B39" s="242">
        <f t="shared" si="6"/>
        <v>5</v>
      </c>
      <c r="C39" s="242">
        <f t="shared" si="8"/>
        <v>2027</v>
      </c>
      <c r="D39" s="249">
        <f t="shared" si="7"/>
        <v>1.1666666666666672</v>
      </c>
      <c r="E39" s="246">
        <f>IF(C39&lt;Parameters!$B$38+1,-Parameters!$B$37,0)+E38</f>
        <v>1.3021052631578942</v>
      </c>
    </row>
    <row r="40" spans="2:5" x14ac:dyDescent="0.15">
      <c r="B40" s="242">
        <f t="shared" si="6"/>
        <v>6</v>
      </c>
      <c r="C40" s="242">
        <f t="shared" si="8"/>
        <v>2028</v>
      </c>
      <c r="D40" s="249">
        <f t="shared" si="7"/>
        <v>1.2000000000000006</v>
      </c>
      <c r="E40" s="246">
        <f>IF(C40&lt;Parameters!$B$38+1,-Parameters!$B$37,0)+E39</f>
        <v>1.2805263157894731</v>
      </c>
    </row>
    <row r="41" spans="2:5" x14ac:dyDescent="0.15">
      <c r="B41" s="242">
        <f t="shared" si="6"/>
        <v>7</v>
      </c>
      <c r="C41" s="242">
        <f t="shared" si="8"/>
        <v>2029</v>
      </c>
      <c r="D41" s="249">
        <f t="shared" si="7"/>
        <v>1.2333333333333341</v>
      </c>
      <c r="E41" s="246">
        <f>IF(C41&lt;Parameters!$B$38+1,-Parameters!$B$37,0)+E40</f>
        <v>1.2589473684210519</v>
      </c>
    </row>
    <row r="42" spans="2:5" x14ac:dyDescent="0.15">
      <c r="B42" s="242">
        <f t="shared" si="6"/>
        <v>8</v>
      </c>
      <c r="C42" s="242">
        <f t="shared" si="8"/>
        <v>2030</v>
      </c>
      <c r="D42" s="249">
        <f t="shared" ref="D42:D62" si="9">IF(C42&lt;$C$28+1,$E$28,$E$29)+D41</f>
        <v>1.2666666666666675</v>
      </c>
      <c r="E42" s="246">
        <f>IF(C42&lt;Parameters!$B$38+1,-Parameters!$B$37,0)+E41</f>
        <v>1.2373684210526308</v>
      </c>
    </row>
    <row r="43" spans="2:5" x14ac:dyDescent="0.15">
      <c r="B43" s="242">
        <f t="shared" si="6"/>
        <v>9</v>
      </c>
      <c r="C43" s="242">
        <f t="shared" si="8"/>
        <v>2031</v>
      </c>
      <c r="D43" s="249">
        <f t="shared" si="9"/>
        <v>1.2719298245614044</v>
      </c>
      <c r="E43" s="246">
        <f>IF(C43&lt;Parameters!$B$38+1,-Parameters!$B$37,0)+E42</f>
        <v>1.2157894736842096</v>
      </c>
    </row>
    <row r="44" spans="2:5" x14ac:dyDescent="0.15">
      <c r="B44" s="242">
        <f t="shared" si="6"/>
        <v>10</v>
      </c>
      <c r="C44" s="242">
        <f t="shared" si="8"/>
        <v>2032</v>
      </c>
      <c r="D44" s="249">
        <f t="shared" si="9"/>
        <v>1.2771929824561412</v>
      </c>
      <c r="E44" s="246">
        <f>IF(C44&lt;Parameters!$B$38+1,-Parameters!$B$37,0)+E43</f>
        <v>1.1942105263157885</v>
      </c>
    </row>
    <row r="45" spans="2:5" x14ac:dyDescent="0.15">
      <c r="B45" s="242">
        <f t="shared" si="6"/>
        <v>11</v>
      </c>
      <c r="C45" s="242">
        <f t="shared" si="8"/>
        <v>2033</v>
      </c>
      <c r="D45" s="249">
        <f t="shared" si="9"/>
        <v>1.2824561403508781</v>
      </c>
      <c r="E45" s="246">
        <f>IF(C45&lt;Parameters!$B$38+1,-Parameters!$B$37,0)+E44</f>
        <v>1.1726315789473674</v>
      </c>
    </row>
    <row r="46" spans="2:5" x14ac:dyDescent="0.15">
      <c r="B46" s="242">
        <f t="shared" si="6"/>
        <v>12</v>
      </c>
      <c r="C46" s="242">
        <f t="shared" si="8"/>
        <v>2034</v>
      </c>
      <c r="D46" s="249">
        <f t="shared" si="9"/>
        <v>1.2877192982456149</v>
      </c>
      <c r="E46" s="246">
        <f>IF(C46&lt;Parameters!$B$38+1,-Parameters!$B$37,0)+E45</f>
        <v>1.1510526315789462</v>
      </c>
    </row>
    <row r="47" spans="2:5" x14ac:dyDescent="0.15">
      <c r="B47" s="242">
        <f t="shared" si="6"/>
        <v>13</v>
      </c>
      <c r="C47" s="242">
        <f t="shared" si="8"/>
        <v>2035</v>
      </c>
      <c r="D47" s="249">
        <f t="shared" si="9"/>
        <v>1.2929824561403518</v>
      </c>
      <c r="E47" s="246">
        <f>IF(C47&lt;Parameters!$B$38+1,-Parameters!$B$37,0)+E46</f>
        <v>1.1294736842105251</v>
      </c>
    </row>
    <row r="48" spans="2:5" x14ac:dyDescent="0.15">
      <c r="B48" s="242">
        <f t="shared" si="6"/>
        <v>14</v>
      </c>
      <c r="C48" s="242">
        <f t="shared" si="8"/>
        <v>2036</v>
      </c>
      <c r="D48" s="249">
        <f t="shared" si="9"/>
        <v>1.2982456140350886</v>
      </c>
      <c r="E48" s="246">
        <f>IF(C48&lt;Parameters!$B$38+1,-Parameters!$B$37,0)+E47</f>
        <v>1.1078947368421039</v>
      </c>
    </row>
    <row r="49" spans="2:5" x14ac:dyDescent="0.15">
      <c r="B49" s="242">
        <f t="shared" si="6"/>
        <v>15</v>
      </c>
      <c r="C49" s="242">
        <f t="shared" si="8"/>
        <v>2037</v>
      </c>
      <c r="D49" s="249">
        <f t="shared" si="9"/>
        <v>1.3035087719298255</v>
      </c>
      <c r="E49" s="246">
        <f>IF(C49&lt;Parameters!$B$38+1,-Parameters!$B$37,0)+E48</f>
        <v>1.0863157894736828</v>
      </c>
    </row>
    <row r="50" spans="2:5" x14ac:dyDescent="0.15">
      <c r="B50" s="242">
        <f t="shared" si="6"/>
        <v>16</v>
      </c>
      <c r="C50" s="242">
        <f t="shared" si="8"/>
        <v>2038</v>
      </c>
      <c r="D50" s="249">
        <f t="shared" si="9"/>
        <v>1.3087719298245624</v>
      </c>
      <c r="E50" s="246">
        <f>IF(C50&lt;Parameters!$B$38+1,-Parameters!$B$37,0)+E49</f>
        <v>1.0647368421052616</v>
      </c>
    </row>
    <row r="51" spans="2:5" x14ac:dyDescent="0.15">
      <c r="B51" s="242">
        <f t="shared" si="6"/>
        <v>17</v>
      </c>
      <c r="C51" s="242">
        <f t="shared" si="8"/>
        <v>2039</v>
      </c>
      <c r="D51" s="249">
        <f t="shared" si="9"/>
        <v>1.3140350877192992</v>
      </c>
      <c r="E51" s="246">
        <f>IF(C51&lt;Parameters!$B$38+1,-Parameters!$B$37,0)+E50</f>
        <v>1.0431578947368405</v>
      </c>
    </row>
    <row r="52" spans="2:5" x14ac:dyDescent="0.15">
      <c r="B52" s="242">
        <f t="shared" si="6"/>
        <v>18</v>
      </c>
      <c r="C52" s="242">
        <f t="shared" si="8"/>
        <v>2040</v>
      </c>
      <c r="D52" s="249">
        <f t="shared" si="9"/>
        <v>1.3192982456140361</v>
      </c>
      <c r="E52" s="246">
        <f>IF(C52&lt;Parameters!$B$38+1,-Parameters!$B$37,0)+E51</f>
        <v>1.0215789473684194</v>
      </c>
    </row>
    <row r="53" spans="2:5" x14ac:dyDescent="0.15">
      <c r="B53" s="242">
        <f t="shared" si="6"/>
        <v>19</v>
      </c>
      <c r="C53" s="242">
        <f t="shared" si="8"/>
        <v>2041</v>
      </c>
      <c r="D53" s="249">
        <f t="shared" si="9"/>
        <v>1.3245614035087729</v>
      </c>
      <c r="E53" s="246">
        <f>IF(C53&lt;Parameters!$B$38+1,-Parameters!$B$37,0)+E52</f>
        <v>1.0215789473684194</v>
      </c>
    </row>
    <row r="54" spans="2:5" x14ac:dyDescent="0.15">
      <c r="B54" s="242">
        <f t="shared" si="6"/>
        <v>20</v>
      </c>
      <c r="C54" s="242">
        <f t="shared" si="8"/>
        <v>2042</v>
      </c>
      <c r="D54" s="249">
        <f t="shared" si="9"/>
        <v>1.3298245614035098</v>
      </c>
      <c r="E54" s="246">
        <f>IF(C54&lt;Parameters!$B$38+1,-Parameters!$B$37,0)+E53</f>
        <v>1.0215789473684194</v>
      </c>
    </row>
    <row r="55" spans="2:5" x14ac:dyDescent="0.15">
      <c r="B55" s="242">
        <f t="shared" si="6"/>
        <v>21</v>
      </c>
      <c r="C55" s="242">
        <f t="shared" si="8"/>
        <v>2043</v>
      </c>
      <c r="D55" s="249">
        <f t="shared" si="9"/>
        <v>1.3350877192982467</v>
      </c>
      <c r="E55" s="246">
        <f>IF(C55&lt;Parameters!$B$38+1,-Parameters!$B$37,0)+E54</f>
        <v>1.0215789473684194</v>
      </c>
    </row>
    <row r="56" spans="2:5" x14ac:dyDescent="0.15">
      <c r="B56" s="242">
        <f t="shared" si="6"/>
        <v>22</v>
      </c>
      <c r="C56" s="242">
        <f t="shared" si="8"/>
        <v>2044</v>
      </c>
      <c r="D56" s="249">
        <f t="shared" si="9"/>
        <v>1.3403508771929835</v>
      </c>
      <c r="E56" s="246">
        <f>IF(C56&lt;Parameters!$B$38+1,-Parameters!$B$37,0)+E55</f>
        <v>1.0215789473684194</v>
      </c>
    </row>
    <row r="57" spans="2:5" x14ac:dyDescent="0.15">
      <c r="B57" s="242">
        <f t="shared" si="6"/>
        <v>23</v>
      </c>
      <c r="C57" s="242">
        <f t="shared" si="8"/>
        <v>2045</v>
      </c>
      <c r="D57" s="249">
        <f t="shared" si="9"/>
        <v>1.3456140350877204</v>
      </c>
      <c r="E57" s="246">
        <f>IF(C57&lt;Parameters!$B$38+1,-Parameters!$B$37,0)+E56</f>
        <v>1.0215789473684194</v>
      </c>
    </row>
    <row r="58" spans="2:5" x14ac:dyDescent="0.15">
      <c r="B58" s="242">
        <f t="shared" si="6"/>
        <v>24</v>
      </c>
      <c r="C58" s="242">
        <f t="shared" si="8"/>
        <v>2046</v>
      </c>
      <c r="D58" s="249">
        <f t="shared" si="9"/>
        <v>1.3508771929824572</v>
      </c>
      <c r="E58" s="246">
        <f>IF(C58&lt;Parameters!$B$38+1,-Parameters!$B$37,0)+E57</f>
        <v>1.0215789473684194</v>
      </c>
    </row>
    <row r="59" spans="2:5" x14ac:dyDescent="0.15">
      <c r="B59" s="242">
        <f t="shared" si="6"/>
        <v>25</v>
      </c>
      <c r="C59" s="242">
        <f t="shared" si="8"/>
        <v>2047</v>
      </c>
      <c r="D59" s="249">
        <f t="shared" si="9"/>
        <v>1.3561403508771941</v>
      </c>
      <c r="E59" s="246">
        <f>IF(C59&lt;Parameters!$B$38+1,-Parameters!$B$37,0)+E58</f>
        <v>1.0215789473684194</v>
      </c>
    </row>
    <row r="60" spans="2:5" x14ac:dyDescent="0.15">
      <c r="B60" s="242">
        <f t="shared" si="6"/>
        <v>26</v>
      </c>
      <c r="C60" s="242">
        <f t="shared" si="8"/>
        <v>2048</v>
      </c>
      <c r="D60" s="249">
        <f t="shared" si="9"/>
        <v>1.3614035087719309</v>
      </c>
      <c r="E60" s="246">
        <f>IF(C60&lt;Parameters!$B$38+1,-Parameters!$B$37,0)+E59</f>
        <v>1.0215789473684194</v>
      </c>
    </row>
    <row r="61" spans="2:5" x14ac:dyDescent="0.15">
      <c r="B61" s="242">
        <f t="shared" si="6"/>
        <v>27</v>
      </c>
      <c r="C61" s="242">
        <f t="shared" si="8"/>
        <v>2049</v>
      </c>
      <c r="D61" s="249">
        <f t="shared" si="9"/>
        <v>1.3666666666666678</v>
      </c>
      <c r="E61" s="246">
        <f>IF(C61&lt;Parameters!$B$38+1,-Parameters!$B$37,0)+E60</f>
        <v>1.0215789473684194</v>
      </c>
    </row>
    <row r="62" spans="2:5" x14ac:dyDescent="0.15">
      <c r="B62" s="242">
        <f t="shared" si="6"/>
        <v>28</v>
      </c>
      <c r="C62" s="242">
        <f t="shared" si="8"/>
        <v>2050</v>
      </c>
      <c r="D62" s="249">
        <f t="shared" si="9"/>
        <v>1.3719298245614047</v>
      </c>
      <c r="E62" s="246">
        <f>IF(C62&lt;Parameters!$B$38+1,-Parameters!$B$37,0)+E61</f>
        <v>1.0215789473684194</v>
      </c>
    </row>
    <row r="65" spans="2:8" x14ac:dyDescent="0.15">
      <c r="B65" s="91" t="s">
        <v>540</v>
      </c>
    </row>
    <row r="66" spans="2:8" x14ac:dyDescent="0.15">
      <c r="B66" s="251"/>
      <c r="C66" s="242"/>
      <c r="D66" s="242" t="s">
        <v>541</v>
      </c>
      <c r="E66" s="242" t="s">
        <v>542</v>
      </c>
      <c r="F66" s="242" t="s">
        <v>543</v>
      </c>
      <c r="G66" s="242" t="s">
        <v>544</v>
      </c>
      <c r="H66" s="242" t="s">
        <v>540</v>
      </c>
    </row>
    <row r="67" spans="2:8" x14ac:dyDescent="0.15">
      <c r="B67" s="242"/>
      <c r="C67" s="242"/>
      <c r="D67" s="242"/>
      <c r="E67" s="242">
        <f>INDEX(VehicleCatalogus[[#All],[FC power]],MATCH(Calculatie!$D$28,VehicleCatalogus[[#All],[Name]],0))</f>
        <v>45</v>
      </c>
      <c r="F67" s="242"/>
      <c r="G67" s="253">
        <f>Calculatie!$D$32</f>
        <v>20</v>
      </c>
      <c r="H67" s="242"/>
    </row>
    <row r="68" spans="2:8" x14ac:dyDescent="0.15">
      <c r="B68" s="242">
        <f>C68-MIN($C$68:$C$96)</f>
        <v>0</v>
      </c>
      <c r="C68" s="242">
        <f>Invoervelden!H2</f>
        <v>2022</v>
      </c>
      <c r="D68" s="244">
        <f>Parameters!B16</f>
        <v>1535</v>
      </c>
      <c r="E68" s="244">
        <f>$E$67*D68</f>
        <v>69075</v>
      </c>
      <c r="F68" s="244">
        <f>Parameters!$B$17</f>
        <v>1275</v>
      </c>
      <c r="G68" s="244">
        <f>F68*$G$67</f>
        <v>25500</v>
      </c>
      <c r="H68" s="252">
        <f>G68+E68</f>
        <v>94575</v>
      </c>
    </row>
    <row r="69" spans="2:8" x14ac:dyDescent="0.15">
      <c r="B69" s="242">
        <f t="shared" ref="B69:B96" si="10">C69-MIN($C$68:$C$96)</f>
        <v>1</v>
      </c>
      <c r="C69" s="242">
        <f>C68+1</f>
        <v>2023</v>
      </c>
      <c r="D69" s="244">
        <f>IF(C69&lt;2030+1,Parameters!$B$32,Parameters!$B$33)*Dynamic!D68</f>
        <v>1473.6</v>
      </c>
      <c r="E69" s="244">
        <f t="shared" ref="E69:E96" si="11">$E$67*D69</f>
        <v>66312</v>
      </c>
      <c r="F69" s="244">
        <f>IF(C69&lt;2030+1,Parameters!$B$34,Parameters!$B$35)*Dynamic!F68</f>
        <v>1224</v>
      </c>
      <c r="G69" s="244">
        <f t="shared" ref="G69:G96" si="12">F69*$G$67</f>
        <v>24480</v>
      </c>
      <c r="H69" s="252">
        <f t="shared" ref="H69:H96" si="13">G69+E69</f>
        <v>90792</v>
      </c>
    </row>
    <row r="70" spans="2:8" x14ac:dyDescent="0.15">
      <c r="B70" s="242">
        <f t="shared" si="10"/>
        <v>2</v>
      </c>
      <c r="C70" s="242">
        <f t="shared" ref="C70:C96" si="14">C69+1</f>
        <v>2024</v>
      </c>
      <c r="D70" s="244">
        <f>IF(C70&lt;2030+1,Parameters!$B$32,Parameters!$B$33)*Dynamic!D69</f>
        <v>1414.6559999999999</v>
      </c>
      <c r="E70" s="244">
        <f t="shared" si="11"/>
        <v>63659.519999999997</v>
      </c>
      <c r="F70" s="244">
        <f>IF(C70&lt;2030+1,Parameters!$B$34,Parameters!$B$35)*Dynamic!F69</f>
        <v>1175.04</v>
      </c>
      <c r="G70" s="244">
        <f t="shared" si="12"/>
        <v>23500.799999999999</v>
      </c>
      <c r="H70" s="252">
        <f t="shared" si="13"/>
        <v>87160.319999999992</v>
      </c>
    </row>
    <row r="71" spans="2:8" x14ac:dyDescent="0.15">
      <c r="B71" s="242">
        <f t="shared" si="10"/>
        <v>3</v>
      </c>
      <c r="C71" s="242">
        <f t="shared" si="14"/>
        <v>2025</v>
      </c>
      <c r="D71" s="244">
        <f>IF(C71&lt;2030+1,Parameters!$B$32,Parameters!$B$33)*Dynamic!D70</f>
        <v>1358.0697599999999</v>
      </c>
      <c r="E71" s="244">
        <f t="shared" si="11"/>
        <v>61113.139199999991</v>
      </c>
      <c r="F71" s="244">
        <f>IF(C71&lt;2030+1,Parameters!$B$34,Parameters!$B$35)*Dynamic!F70</f>
        <v>1128.0383999999999</v>
      </c>
      <c r="G71" s="244">
        <f t="shared" si="12"/>
        <v>22560.767999999996</v>
      </c>
      <c r="H71" s="252">
        <f t="shared" si="13"/>
        <v>83673.907199999987</v>
      </c>
    </row>
    <row r="72" spans="2:8" x14ac:dyDescent="0.15">
      <c r="B72" s="242">
        <f t="shared" si="10"/>
        <v>4</v>
      </c>
      <c r="C72" s="242">
        <f t="shared" si="14"/>
        <v>2026</v>
      </c>
      <c r="D72" s="244">
        <f>IF(C72&lt;2030+1,Parameters!$B$32,Parameters!$B$33)*Dynamic!D71</f>
        <v>1303.7469695999998</v>
      </c>
      <c r="E72" s="244">
        <f t="shared" si="11"/>
        <v>58668.613631999993</v>
      </c>
      <c r="F72" s="244">
        <f>IF(C72&lt;2030+1,Parameters!$B$34,Parameters!$B$35)*Dynamic!F71</f>
        <v>1082.9168639999998</v>
      </c>
      <c r="G72" s="244">
        <f t="shared" si="12"/>
        <v>21658.337279999996</v>
      </c>
      <c r="H72" s="252">
        <f t="shared" si="13"/>
        <v>80326.950911999986</v>
      </c>
    </row>
    <row r="73" spans="2:8" x14ac:dyDescent="0.15">
      <c r="B73" s="242">
        <f t="shared" si="10"/>
        <v>5</v>
      </c>
      <c r="C73" s="242">
        <f t="shared" si="14"/>
        <v>2027</v>
      </c>
      <c r="D73" s="244">
        <f>IF(C73&lt;2030+1,Parameters!$B$32,Parameters!$B$33)*Dynamic!D72</f>
        <v>1251.5970908159998</v>
      </c>
      <c r="E73" s="244">
        <f t="shared" si="11"/>
        <v>56321.869086719991</v>
      </c>
      <c r="F73" s="244">
        <f>IF(C73&lt;2030+1,Parameters!$B$34,Parameters!$B$35)*Dynamic!F72</f>
        <v>1039.6001894399997</v>
      </c>
      <c r="G73" s="244">
        <f t="shared" si="12"/>
        <v>20792.003788799993</v>
      </c>
      <c r="H73" s="252">
        <f t="shared" si="13"/>
        <v>77113.872875519985</v>
      </c>
    </row>
    <row r="74" spans="2:8" x14ac:dyDescent="0.15">
      <c r="B74" s="242">
        <f t="shared" si="10"/>
        <v>6</v>
      </c>
      <c r="C74" s="242">
        <f t="shared" si="14"/>
        <v>2028</v>
      </c>
      <c r="D74" s="244">
        <f>IF(C74&lt;2030+1,Parameters!$B$32,Parameters!$B$33)*Dynamic!D73</f>
        <v>1201.5332071833598</v>
      </c>
      <c r="E74" s="244">
        <f t="shared" si="11"/>
        <v>54068.994323251187</v>
      </c>
      <c r="F74" s="244">
        <f>IF(C74&lt;2030+1,Parameters!$B$34,Parameters!$B$35)*Dynamic!F73</f>
        <v>998.01618186239966</v>
      </c>
      <c r="G74" s="244">
        <f t="shared" si="12"/>
        <v>19960.323637247995</v>
      </c>
      <c r="H74" s="252">
        <f t="shared" si="13"/>
        <v>74029.317960499175</v>
      </c>
    </row>
    <row r="75" spans="2:8" x14ac:dyDescent="0.15">
      <c r="B75" s="242">
        <f t="shared" si="10"/>
        <v>7</v>
      </c>
      <c r="C75" s="242">
        <f t="shared" si="14"/>
        <v>2029</v>
      </c>
      <c r="D75" s="244">
        <f>IF(C75&lt;2030+1,Parameters!$B$32,Parameters!$B$33)*Dynamic!D74</f>
        <v>1153.4718788960254</v>
      </c>
      <c r="E75" s="244">
        <f t="shared" si="11"/>
        <v>51906.23455032114</v>
      </c>
      <c r="F75" s="244">
        <f>IF(C75&lt;2030+1,Parameters!$B$34,Parameters!$B$35)*Dynamic!F74</f>
        <v>958.09553458790367</v>
      </c>
      <c r="G75" s="244">
        <f t="shared" si="12"/>
        <v>19161.910691758072</v>
      </c>
      <c r="H75" s="252">
        <f t="shared" si="13"/>
        <v>71068.145242079219</v>
      </c>
    </row>
    <row r="76" spans="2:8" x14ac:dyDescent="0.15">
      <c r="B76" s="242">
        <f t="shared" si="10"/>
        <v>8</v>
      </c>
      <c r="C76" s="242">
        <f t="shared" si="14"/>
        <v>2030</v>
      </c>
      <c r="D76" s="244">
        <f>IF(C76&lt;2030+1,Parameters!$B$32,Parameters!$B$33)*Dynamic!D75</f>
        <v>1107.3330037401843</v>
      </c>
      <c r="E76" s="244">
        <f t="shared" si="11"/>
        <v>49829.985168308289</v>
      </c>
      <c r="F76" s="244">
        <f>IF(C76&lt;2030+1,Parameters!$B$34,Parameters!$B$35)*Dynamic!F75</f>
        <v>919.77171320438754</v>
      </c>
      <c r="G76" s="244">
        <f t="shared" si="12"/>
        <v>18395.434264087751</v>
      </c>
      <c r="H76" s="252">
        <f t="shared" si="13"/>
        <v>68225.41943239604</v>
      </c>
    </row>
    <row r="77" spans="2:8" x14ac:dyDescent="0.15">
      <c r="B77" s="242">
        <f t="shared" si="10"/>
        <v>9</v>
      </c>
      <c r="C77" s="242">
        <f t="shared" si="14"/>
        <v>2031</v>
      </c>
      <c r="D77" s="244">
        <f>IF(C77&lt;2030+1,Parameters!$B$32,Parameters!$B$33)*Dynamic!D76</f>
        <v>1074.1130136279787</v>
      </c>
      <c r="E77" s="244">
        <f t="shared" si="11"/>
        <v>48335.085613259042</v>
      </c>
      <c r="F77" s="244">
        <f>IF(C77&lt;2030+1,Parameters!$B$34,Parameters!$B$35)*Dynamic!F76</f>
        <v>892.17856180825584</v>
      </c>
      <c r="G77" s="244">
        <f t="shared" si="12"/>
        <v>17843.571236165117</v>
      </c>
      <c r="H77" s="252">
        <f t="shared" si="13"/>
        <v>66178.656849424151</v>
      </c>
    </row>
    <row r="78" spans="2:8" x14ac:dyDescent="0.15">
      <c r="B78" s="242">
        <f t="shared" si="10"/>
        <v>10</v>
      </c>
      <c r="C78" s="242">
        <f t="shared" si="14"/>
        <v>2032</v>
      </c>
      <c r="D78" s="244">
        <f>IF(C78&lt;2030+1,Parameters!$B$32,Parameters!$B$33)*Dynamic!D77</f>
        <v>1041.8896232191394</v>
      </c>
      <c r="E78" s="244">
        <f t="shared" si="11"/>
        <v>46885.033044861273</v>
      </c>
      <c r="F78" s="244">
        <f>IF(C78&lt;2030+1,Parameters!$B$34,Parameters!$B$35)*Dynamic!F77</f>
        <v>865.41320495400817</v>
      </c>
      <c r="G78" s="244">
        <f t="shared" si="12"/>
        <v>17308.264099080163</v>
      </c>
      <c r="H78" s="252">
        <f t="shared" si="13"/>
        <v>64193.29714394144</v>
      </c>
    </row>
    <row r="79" spans="2:8" x14ac:dyDescent="0.15">
      <c r="B79" s="242">
        <f t="shared" si="10"/>
        <v>11</v>
      </c>
      <c r="C79" s="242">
        <f t="shared" si="14"/>
        <v>2033</v>
      </c>
      <c r="D79" s="244">
        <f>IF(C79&lt;2030+1,Parameters!$B$32,Parameters!$B$33)*Dynamic!D78</f>
        <v>1010.6329345225652</v>
      </c>
      <c r="E79" s="244">
        <f t="shared" si="11"/>
        <v>45478.482053515436</v>
      </c>
      <c r="F79" s="244">
        <f>IF(C79&lt;2030+1,Parameters!$B$34,Parameters!$B$35)*Dynamic!F78</f>
        <v>839.45080880538785</v>
      </c>
      <c r="G79" s="244">
        <f t="shared" si="12"/>
        <v>16789.016176107758</v>
      </c>
      <c r="H79" s="252">
        <f t="shared" si="13"/>
        <v>62267.49822962319</v>
      </c>
    </row>
    <row r="80" spans="2:8" x14ac:dyDescent="0.15">
      <c r="B80" s="242">
        <f t="shared" si="10"/>
        <v>12</v>
      </c>
      <c r="C80" s="242">
        <f t="shared" si="14"/>
        <v>2034</v>
      </c>
      <c r="D80" s="244">
        <f>IF(C80&lt;2030+1,Parameters!$B$32,Parameters!$B$33)*Dynamic!D79</f>
        <v>980.3139464868882</v>
      </c>
      <c r="E80" s="244">
        <f t="shared" si="11"/>
        <v>44114.127591909972</v>
      </c>
      <c r="F80" s="244">
        <f>IF(C80&lt;2030+1,Parameters!$B$34,Parameters!$B$35)*Dynamic!F79</f>
        <v>814.26728454122622</v>
      </c>
      <c r="G80" s="244">
        <f t="shared" si="12"/>
        <v>16285.345690824524</v>
      </c>
      <c r="H80" s="252">
        <f t="shared" si="13"/>
        <v>60399.4732827345</v>
      </c>
    </row>
    <row r="81" spans="2:8" x14ac:dyDescent="0.15">
      <c r="B81" s="242">
        <f t="shared" si="10"/>
        <v>13</v>
      </c>
      <c r="C81" s="242">
        <f t="shared" si="14"/>
        <v>2035</v>
      </c>
      <c r="D81" s="244">
        <f>IF(C81&lt;2030+1,Parameters!$B$32,Parameters!$B$33)*Dynamic!D80</f>
        <v>950.90452809228157</v>
      </c>
      <c r="E81" s="244">
        <f t="shared" si="11"/>
        <v>42790.703764152669</v>
      </c>
      <c r="F81" s="244">
        <f>IF(C81&lt;2030+1,Parameters!$B$34,Parameters!$B$35)*Dynamic!F80</f>
        <v>789.83926600498944</v>
      </c>
      <c r="G81" s="244">
        <f t="shared" si="12"/>
        <v>15796.785320099789</v>
      </c>
      <c r="H81" s="252">
        <f t="shared" si="13"/>
        <v>58587.489084252462</v>
      </c>
    </row>
    <row r="82" spans="2:8" x14ac:dyDescent="0.15">
      <c r="B82" s="242">
        <f t="shared" si="10"/>
        <v>14</v>
      </c>
      <c r="C82" s="242">
        <f t="shared" si="14"/>
        <v>2036</v>
      </c>
      <c r="D82" s="244">
        <f>IF(C82&lt;2030+1,Parameters!$B$32,Parameters!$B$33)*Dynamic!D81</f>
        <v>922.37739224951315</v>
      </c>
      <c r="E82" s="244">
        <f t="shared" si="11"/>
        <v>41506.982651228092</v>
      </c>
      <c r="F82" s="244">
        <f>IF(C82&lt;2030+1,Parameters!$B$34,Parameters!$B$35)*Dynamic!F81</f>
        <v>766.14408802483979</v>
      </c>
      <c r="G82" s="244">
        <f t="shared" si="12"/>
        <v>15322.881760496795</v>
      </c>
      <c r="H82" s="252">
        <f t="shared" si="13"/>
        <v>56829.864411724891</v>
      </c>
    </row>
    <row r="83" spans="2:8" x14ac:dyDescent="0.15">
      <c r="B83" s="242">
        <f t="shared" si="10"/>
        <v>15</v>
      </c>
      <c r="C83" s="242">
        <f t="shared" si="14"/>
        <v>2037</v>
      </c>
      <c r="D83" s="244">
        <f>IF(C83&lt;2030+1,Parameters!$B$32,Parameters!$B$33)*Dynamic!D82</f>
        <v>894.70607048202771</v>
      </c>
      <c r="E83" s="244">
        <f t="shared" si="11"/>
        <v>40261.773171691246</v>
      </c>
      <c r="F83" s="244">
        <f>IF(C83&lt;2030+1,Parameters!$B$34,Parameters!$B$35)*Dynamic!F82</f>
        <v>743.15976538409461</v>
      </c>
      <c r="G83" s="244">
        <f t="shared" si="12"/>
        <v>14863.195307681892</v>
      </c>
      <c r="H83" s="252">
        <f t="shared" si="13"/>
        <v>55124.968479373136</v>
      </c>
    </row>
    <row r="84" spans="2:8" x14ac:dyDescent="0.15">
      <c r="B84" s="242">
        <f t="shared" si="10"/>
        <v>16</v>
      </c>
      <c r="C84" s="242">
        <f t="shared" si="14"/>
        <v>2038</v>
      </c>
      <c r="D84" s="244">
        <f>IF(C84&lt;2030+1,Parameters!$B$32,Parameters!$B$33)*Dynamic!D83</f>
        <v>867.86488836756689</v>
      </c>
      <c r="E84" s="244">
        <f t="shared" si="11"/>
        <v>39053.919976540506</v>
      </c>
      <c r="F84" s="244">
        <f>IF(C84&lt;2030+1,Parameters!$B$34,Parameters!$B$35)*Dynamic!F83</f>
        <v>720.86497242257178</v>
      </c>
      <c r="G84" s="244">
        <f t="shared" si="12"/>
        <v>14417.299448451435</v>
      </c>
      <c r="H84" s="252">
        <f t="shared" si="13"/>
        <v>53471.219424991941</v>
      </c>
    </row>
    <row r="85" spans="2:8" x14ac:dyDescent="0.15">
      <c r="B85" s="242">
        <f t="shared" si="10"/>
        <v>17</v>
      </c>
      <c r="C85" s="242">
        <f t="shared" si="14"/>
        <v>2039</v>
      </c>
      <c r="D85" s="244">
        <f>IF(C85&lt;2030+1,Parameters!$B$32,Parameters!$B$33)*Dynamic!D84</f>
        <v>841.82894171653982</v>
      </c>
      <c r="E85" s="244">
        <f t="shared" si="11"/>
        <v>37882.30237724429</v>
      </c>
      <c r="F85" s="244">
        <f>IF(C85&lt;2030+1,Parameters!$B$34,Parameters!$B$35)*Dynamic!F84</f>
        <v>699.23902324989456</v>
      </c>
      <c r="G85" s="244">
        <f t="shared" si="12"/>
        <v>13984.780464997892</v>
      </c>
      <c r="H85" s="252">
        <f t="shared" si="13"/>
        <v>51867.082842242184</v>
      </c>
    </row>
    <row r="86" spans="2:8" x14ac:dyDescent="0.15">
      <c r="B86" s="242">
        <f t="shared" si="10"/>
        <v>18</v>
      </c>
      <c r="C86" s="242">
        <f t="shared" si="14"/>
        <v>2040</v>
      </c>
      <c r="D86" s="244">
        <f>IF(C86&lt;2030+1,Parameters!$B$32,Parameters!$B$33)*Dynamic!D85</f>
        <v>816.57407346504363</v>
      </c>
      <c r="E86" s="244">
        <f t="shared" si="11"/>
        <v>36745.833305926964</v>
      </c>
      <c r="F86" s="244">
        <f>IF(C86&lt;2030+1,Parameters!$B$34,Parameters!$B$35)*Dynamic!F85</f>
        <v>678.26185255239773</v>
      </c>
      <c r="G86" s="244">
        <f t="shared" si="12"/>
        <v>13565.237051047954</v>
      </c>
      <c r="H86" s="252">
        <f t="shared" si="13"/>
        <v>50311.070356974917</v>
      </c>
    </row>
    <row r="87" spans="2:8" x14ac:dyDescent="0.15">
      <c r="B87" s="242">
        <f t="shared" si="10"/>
        <v>19</v>
      </c>
      <c r="C87" s="242">
        <f t="shared" si="14"/>
        <v>2041</v>
      </c>
      <c r="D87" s="244">
        <f>IF(C87&lt;2030+1,Parameters!$B$32,Parameters!$B$33)*Dynamic!D86</f>
        <v>792.07685126109232</v>
      </c>
      <c r="E87" s="244">
        <f t="shared" si="11"/>
        <v>35643.458306749155</v>
      </c>
      <c r="F87" s="244">
        <f>IF(C87&lt;2030+1,Parameters!$B$34,Parameters!$B$35)*Dynamic!F86</f>
        <v>657.91399697582574</v>
      </c>
      <c r="G87" s="244">
        <f t="shared" si="12"/>
        <v>13158.279939516515</v>
      </c>
      <c r="H87" s="252">
        <f t="shared" si="13"/>
        <v>48801.738246265668</v>
      </c>
    </row>
    <row r="88" spans="2:8" x14ac:dyDescent="0.15">
      <c r="B88" s="242">
        <f t="shared" si="10"/>
        <v>20</v>
      </c>
      <c r="C88" s="242">
        <f t="shared" si="14"/>
        <v>2042</v>
      </c>
      <c r="D88" s="244">
        <f>IF(C88&lt;2030+1,Parameters!$B$32,Parameters!$B$33)*Dynamic!D87</f>
        <v>768.31454572325947</v>
      </c>
      <c r="E88" s="244">
        <f t="shared" si="11"/>
        <v>34574.154557546673</v>
      </c>
      <c r="F88" s="244">
        <f>IF(C88&lt;2030+1,Parameters!$B$34,Parameters!$B$35)*Dynamic!F87</f>
        <v>638.17657706655098</v>
      </c>
      <c r="G88" s="244">
        <f t="shared" si="12"/>
        <v>12763.53154133102</v>
      </c>
      <c r="H88" s="252">
        <f t="shared" si="13"/>
        <v>47337.68609887769</v>
      </c>
    </row>
    <row r="89" spans="2:8" x14ac:dyDescent="0.15">
      <c r="B89" s="242">
        <f t="shared" si="10"/>
        <v>21</v>
      </c>
      <c r="C89" s="242">
        <f t="shared" si="14"/>
        <v>2043</v>
      </c>
      <c r="D89" s="244">
        <f>IF(C89&lt;2030+1,Parameters!$B$32,Parameters!$B$33)*Dynamic!D88</f>
        <v>745.2651093515617</v>
      </c>
      <c r="E89" s="244">
        <f t="shared" si="11"/>
        <v>33536.929920820279</v>
      </c>
      <c r="F89" s="244">
        <f>IF(C89&lt;2030+1,Parameters!$B$34,Parameters!$B$35)*Dynamic!F88</f>
        <v>619.03127975455448</v>
      </c>
      <c r="G89" s="244">
        <f t="shared" si="12"/>
        <v>12380.625595091089</v>
      </c>
      <c r="H89" s="252">
        <f t="shared" si="13"/>
        <v>45917.555515911372</v>
      </c>
    </row>
    <row r="90" spans="2:8" x14ac:dyDescent="0.15">
      <c r="B90" s="242">
        <f t="shared" si="10"/>
        <v>22</v>
      </c>
      <c r="C90" s="242">
        <f t="shared" si="14"/>
        <v>2044</v>
      </c>
      <c r="D90" s="244">
        <f>IF(C90&lt;2030+1,Parameters!$B$32,Parameters!$B$33)*Dynamic!D89</f>
        <v>722.90715607101481</v>
      </c>
      <c r="E90" s="244">
        <f t="shared" si="11"/>
        <v>32530.822023195666</v>
      </c>
      <c r="F90" s="244">
        <f>IF(C90&lt;2030+1,Parameters!$B$34,Parameters!$B$35)*Dynamic!F89</f>
        <v>600.46034136191781</v>
      </c>
      <c r="G90" s="244">
        <f t="shared" si="12"/>
        <v>12009.206827238357</v>
      </c>
      <c r="H90" s="252">
        <f t="shared" si="13"/>
        <v>44540.028850434021</v>
      </c>
    </row>
    <row r="91" spans="2:8" x14ac:dyDescent="0.15">
      <c r="B91" s="242">
        <f t="shared" si="10"/>
        <v>23</v>
      </c>
      <c r="C91" s="242">
        <f t="shared" si="14"/>
        <v>2045</v>
      </c>
      <c r="D91" s="244">
        <f>IF(C91&lt;2030+1,Parameters!$B$32,Parameters!$B$33)*Dynamic!D90</f>
        <v>701.21994138888431</v>
      </c>
      <c r="E91" s="244">
        <f t="shared" si="11"/>
        <v>31554.897362499793</v>
      </c>
      <c r="F91" s="244">
        <f>IF(C91&lt;2030+1,Parameters!$B$34,Parameters!$B$35)*Dynamic!F90</f>
        <v>582.44653112106027</v>
      </c>
      <c r="G91" s="244">
        <f t="shared" si="12"/>
        <v>11648.930622421205</v>
      </c>
      <c r="H91" s="252">
        <f t="shared" si="13"/>
        <v>43203.827984920994</v>
      </c>
    </row>
    <row r="92" spans="2:8" x14ac:dyDescent="0.15">
      <c r="B92" s="242">
        <f t="shared" si="10"/>
        <v>24</v>
      </c>
      <c r="C92" s="242">
        <f t="shared" si="14"/>
        <v>2046</v>
      </c>
      <c r="D92" s="244">
        <f>IF(C92&lt;2030+1,Parameters!$B$32,Parameters!$B$33)*Dynamic!D91</f>
        <v>680.18334314721778</v>
      </c>
      <c r="E92" s="244">
        <f t="shared" si="11"/>
        <v>30608.250441624801</v>
      </c>
      <c r="F92" s="244">
        <f>IF(C92&lt;2030+1,Parameters!$B$34,Parameters!$B$35)*Dynamic!F91</f>
        <v>564.9731351874284</v>
      </c>
      <c r="G92" s="244">
        <f t="shared" si="12"/>
        <v>11299.462703748568</v>
      </c>
      <c r="H92" s="252">
        <f t="shared" si="13"/>
        <v>41907.713145373367</v>
      </c>
    </row>
    <row r="93" spans="2:8" x14ac:dyDescent="0.15">
      <c r="B93" s="242">
        <f t="shared" si="10"/>
        <v>25</v>
      </c>
      <c r="C93" s="242">
        <f t="shared" si="14"/>
        <v>2047</v>
      </c>
      <c r="D93" s="244">
        <f>IF(C93&lt;2030+1,Parameters!$B$32,Parameters!$B$33)*Dynamic!D92</f>
        <v>659.7778428528012</v>
      </c>
      <c r="E93" s="244">
        <f t="shared" si="11"/>
        <v>29690.002928376052</v>
      </c>
      <c r="F93" s="244">
        <f>IF(C93&lt;2030+1,Parameters!$B$34,Parameters!$B$35)*Dynamic!F92</f>
        <v>548.02394113180549</v>
      </c>
      <c r="G93" s="244">
        <f t="shared" si="12"/>
        <v>10960.478822636109</v>
      </c>
      <c r="H93" s="252">
        <f t="shared" si="13"/>
        <v>40650.481751012165</v>
      </c>
    </row>
    <row r="94" spans="2:8" x14ac:dyDescent="0.15">
      <c r="B94" s="242">
        <f t="shared" si="10"/>
        <v>26</v>
      </c>
      <c r="C94" s="242">
        <f t="shared" si="14"/>
        <v>2048</v>
      </c>
      <c r="D94" s="244">
        <f>IF(C94&lt;2030+1,Parameters!$B$32,Parameters!$B$33)*Dynamic!D93</f>
        <v>639.98450756721718</v>
      </c>
      <c r="E94" s="244">
        <f t="shared" si="11"/>
        <v>28799.302840524771</v>
      </c>
      <c r="F94" s="244">
        <f>IF(C94&lt;2030+1,Parameters!$B$34,Parameters!$B$35)*Dynamic!F93</f>
        <v>531.58322289785133</v>
      </c>
      <c r="G94" s="244">
        <f t="shared" si="12"/>
        <v>10631.664457957027</v>
      </c>
      <c r="H94" s="252">
        <f t="shared" si="13"/>
        <v>39430.967298481803</v>
      </c>
    </row>
    <row r="95" spans="2:8" x14ac:dyDescent="0.15">
      <c r="B95" s="242">
        <f t="shared" si="10"/>
        <v>27</v>
      </c>
      <c r="C95" s="242">
        <f t="shared" si="14"/>
        <v>2049</v>
      </c>
      <c r="D95" s="244">
        <f>IF(C95&lt;2030+1,Parameters!$B$32,Parameters!$B$33)*Dynamic!D94</f>
        <v>620.78497234020062</v>
      </c>
      <c r="E95" s="244">
        <f t="shared" si="11"/>
        <v>27935.323755309029</v>
      </c>
      <c r="F95" s="244">
        <f>IF(C95&lt;2030+1,Parameters!$B$34,Parameters!$B$35)*Dynamic!F94</f>
        <v>515.63572621091578</v>
      </c>
      <c r="G95" s="244">
        <f t="shared" si="12"/>
        <v>10312.714524218316</v>
      </c>
      <c r="H95" s="252">
        <f t="shared" si="13"/>
        <v>38248.038279527347</v>
      </c>
    </row>
    <row r="96" spans="2:8" x14ac:dyDescent="0.15">
      <c r="B96" s="242">
        <f t="shared" si="10"/>
        <v>28</v>
      </c>
      <c r="C96" s="242">
        <f t="shared" si="14"/>
        <v>2050</v>
      </c>
      <c r="D96" s="244">
        <f>IF(C96&lt;2030+1,Parameters!$B$32,Parameters!$B$33)*Dynamic!D95</f>
        <v>602.16142316999458</v>
      </c>
      <c r="E96" s="244">
        <f t="shared" si="11"/>
        <v>27097.264042649756</v>
      </c>
      <c r="F96" s="244">
        <f>IF(C96&lt;2030+1,Parameters!$B$34,Parameters!$B$35)*Dynamic!F95</f>
        <v>500.16665442458827</v>
      </c>
      <c r="G96" s="244">
        <f t="shared" si="12"/>
        <v>10003.333088491765</v>
      </c>
      <c r="H96" s="252">
        <f t="shared" si="13"/>
        <v>37100.59713114152</v>
      </c>
    </row>
  </sheetData>
  <pageMargins left="0.7" right="0.7" top="0.75" bottom="0.75" header="0.3" footer="0.3"/>
  <pageSetup paperSize="0" orientation="portrait" horizontalDpi="0" verticalDpi="0" copies="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0" tint="-0.499984740745262"/>
  </sheetPr>
  <dimension ref="A3:U150"/>
  <sheetViews>
    <sheetView topLeftCell="A13" workbookViewId="0"/>
  </sheetViews>
  <sheetFormatPr defaultRowHeight="10.5" x14ac:dyDescent="0.15"/>
  <cols>
    <col min="6" max="6" width="15.140625" customWidth="1"/>
    <col min="7" max="7" width="12.85546875" bestFit="1" customWidth="1"/>
    <col min="8" max="8" width="15.5703125" bestFit="1" customWidth="1"/>
    <col min="9" max="10" width="12" bestFit="1" customWidth="1"/>
    <col min="11" max="11" width="9.28515625" bestFit="1" customWidth="1"/>
    <col min="12" max="12" width="9" bestFit="1" customWidth="1"/>
    <col min="13" max="13" width="6.5703125" bestFit="1" customWidth="1"/>
    <col min="14" max="14" width="19.7109375" bestFit="1" customWidth="1"/>
    <col min="15" max="15" width="23" bestFit="1" customWidth="1"/>
    <col min="16" max="16" width="23.140625" bestFit="1" customWidth="1"/>
    <col min="17" max="17" width="12.85546875" bestFit="1" customWidth="1"/>
    <col min="18" max="18" width="12.140625" bestFit="1" customWidth="1"/>
  </cols>
  <sheetData>
    <row r="3" spans="1:18" x14ac:dyDescent="0.15">
      <c r="E3" t="s">
        <v>550</v>
      </c>
    </row>
    <row r="4" spans="1:18" x14ac:dyDescent="0.15">
      <c r="E4" t="s">
        <v>551</v>
      </c>
    </row>
    <row r="6" spans="1:18" x14ac:dyDescent="0.15">
      <c r="E6" t="s">
        <v>552</v>
      </c>
    </row>
    <row r="7" spans="1:18" x14ac:dyDescent="0.15">
      <c r="E7" t="s">
        <v>553</v>
      </c>
    </row>
    <row r="12" spans="1:18" x14ac:dyDescent="0.15">
      <c r="E12" t="s">
        <v>554</v>
      </c>
    </row>
    <row r="13" spans="1:18" x14ac:dyDescent="0.15">
      <c r="F13" s="92">
        <f>INDEX(VehicleCatalogus[[#All],[Veh. Price]],MATCH(Calculatie!$B$28,VehicleCatalogus[[#All],[Name]],0))/(1+(VLOOKUP(('Input-Output Module'!B20-2022),Dynamic!$B$34:$D$62,3)))^0</f>
        <v>132250</v>
      </c>
      <c r="G13" s="99"/>
    </row>
    <row r="14" spans="1:18" x14ac:dyDescent="0.15">
      <c r="E14" t="s">
        <v>525</v>
      </c>
      <c r="F14" t="s">
        <v>555</v>
      </c>
      <c r="G14" t="s">
        <v>364</v>
      </c>
      <c r="H14" t="s">
        <v>556</v>
      </c>
      <c r="I14" t="s">
        <v>557</v>
      </c>
      <c r="J14" t="s">
        <v>558</v>
      </c>
      <c r="K14" s="254" t="s">
        <v>415</v>
      </c>
      <c r="L14" s="254" t="s">
        <v>45</v>
      </c>
      <c r="M14" s="254" t="s">
        <v>559</v>
      </c>
      <c r="N14" s="254" t="s">
        <v>560</v>
      </c>
      <c r="O14" s="254" t="s">
        <v>561</v>
      </c>
      <c r="P14" s="254" t="s">
        <v>562</v>
      </c>
      <c r="Q14" s="254" t="s">
        <v>63</v>
      </c>
    </row>
    <row r="15" spans="1:18" x14ac:dyDescent="0.15">
      <c r="A15" t="s">
        <v>563</v>
      </c>
      <c r="B15">
        <f t="shared" ref="B15:B34" si="0">IF(MOD(D15,DV_age)=0,ROUNDUP(D15/DV_age,0)+1,ROUNDUP(D15/DV_age,0))</f>
        <v>1</v>
      </c>
      <c r="C15">
        <f>COUNTIF($B$15:B15,B15)</f>
        <v>1</v>
      </c>
      <c r="D15">
        <v>0</v>
      </c>
      <c r="E15" s="89">
        <f>'Input-Output Module'!B20</f>
        <v>2030</v>
      </c>
      <c r="F15" s="92">
        <f>Calculatie!B50</f>
        <v>132250</v>
      </c>
      <c r="G15" s="92">
        <f>$F$13*(SUMIFS(Dynamic!$D$34:$D$62,Dynamic!$C$34:$C$62,SUMIFS($E$15:$E$34,$B$15:$B$34,B15,$C$15:$C$34,1)))*IF(C15&gt;10,Parameters!$D$93/(DV_age-10),INDEX(Parameters!$D$83:$D$92,C15))</f>
        <v>31256.926032337469</v>
      </c>
      <c r="H15" s="92">
        <f>'Input-Output Module'!$C$78</f>
        <v>8600.4777991373412</v>
      </c>
      <c r="I15" s="92">
        <f>Calculatie!$B$57*(Calculatie!$B$74*((1+Dynamic!$D$2)^'Breakeven analyse'!D15))+Calculatie!$B$67</f>
        <v>38740.473475698578</v>
      </c>
      <c r="J15" s="92">
        <f>'Input-Output Module'!$C$87+'Input-Output Module'!$C$88+'Input-Output Module'!$C$89+'Input-Output Module'!$C$90</f>
        <v>6967.5498399999997</v>
      </c>
      <c r="K15" s="92">
        <f>'Input-Output Module'!$C$91</f>
        <v>0</v>
      </c>
      <c r="L15" s="92">
        <f>'Input-Output Module'!$C$92</f>
        <v>0</v>
      </c>
      <c r="M15" s="92">
        <f>'Input-Output Module'!$C$93</f>
        <v>0</v>
      </c>
      <c r="N15" s="92">
        <f>'Input-Output Module'!$C$94</f>
        <v>399.10124999999999</v>
      </c>
      <c r="O15" s="92">
        <f>'Input-Output Module'!$C$98</f>
        <v>0</v>
      </c>
      <c r="P15" s="92">
        <f>'Input-Output Module'!$C$99</f>
        <v>0</v>
      </c>
      <c r="Q15" s="92">
        <f>SUM(G15:P15)</f>
        <v>85964.528397173388</v>
      </c>
      <c r="R15" s="92">
        <f>SUM(H15:N15,P15)</f>
        <v>54707.602364835919</v>
      </c>
    </row>
    <row r="16" spans="1:18" x14ac:dyDescent="0.15">
      <c r="A16" t="s">
        <v>563</v>
      </c>
      <c r="B16">
        <f t="shared" si="0"/>
        <v>1</v>
      </c>
      <c r="C16">
        <f>COUNTIF($B$15:B16,B16)</f>
        <v>2</v>
      </c>
      <c r="D16">
        <v>1</v>
      </c>
      <c r="E16" s="89">
        <f>E15+1</f>
        <v>2031</v>
      </c>
      <c r="F16" s="92">
        <f>IF(C16=1,$F$13*(SUMIFS(Dynamic!$D$34:$D$62,Dynamic!$C$34:$C$62,SUMIFS($E$15:$E$34,$B$15:$B$34,B16,$C$15:$C$34,1))-SUMIFS(Dynamic!$D$34:$D$62,Dynamic!$C$34:$C$62,SUMIFS($E$15:$E$34,$B$15:$B$34,B16-1,$C$15:$C$34,1))*IFERROR(INDEX(Parameters!$B$83:$B$92,DV_age),10%)),0)</f>
        <v>0</v>
      </c>
      <c r="G16" s="92">
        <f>$F$13*(SUMIFS(Dynamic!$D$34:$D$62,Dynamic!$C$34:$C$62,SUMIFS($E$15:$E$34,$B$15:$B$34,B16,$C$15:$C$34,1)))*IF(C16&gt;10,Parameters!$D$93/(DV_age-10),INDEX(Parameters!$D$83:$D$92,C16))</f>
        <v>25779.880213986824</v>
      </c>
      <c r="H16" s="92">
        <f>'Input-Output Module'!$C$78</f>
        <v>8600.4777991373412</v>
      </c>
      <c r="I16" s="92">
        <f>Calculatie!$B$57*(Calculatie!$B$74*((1+Dynamic!$D$2)^'Breakeven analyse'!D16))+Calculatie!$B$67</f>
        <v>39124.075148944343</v>
      </c>
      <c r="J16" s="92">
        <f>'Input-Output Module'!$C$87+'Input-Output Module'!$C$88+'Input-Output Module'!$C$89+'Input-Output Module'!$C$90</f>
        <v>6967.5498399999997</v>
      </c>
      <c r="K16" s="92">
        <f>'Input-Output Module'!$C$91</f>
        <v>0</v>
      </c>
      <c r="L16" s="92">
        <f>'Input-Output Module'!$C$92</f>
        <v>0</v>
      </c>
      <c r="M16" s="92">
        <f>'Input-Output Module'!$C$93</f>
        <v>0</v>
      </c>
      <c r="N16" s="92">
        <f>'Input-Output Module'!$C$94</f>
        <v>399.10124999999999</v>
      </c>
      <c r="O16" s="92">
        <f>'Input-Output Module'!$C$98</f>
        <v>0</v>
      </c>
      <c r="P16" s="92">
        <f>'Input-Output Module'!$C$99</f>
        <v>0</v>
      </c>
      <c r="Q16" s="92">
        <f t="shared" ref="Q16:Q34" si="1">SUM(G16:P16)</f>
        <v>80871.084252068511</v>
      </c>
      <c r="R16" s="92">
        <f t="shared" ref="R16:R34" si="2">SUM(H16:N16,P16)</f>
        <v>55091.204038081683</v>
      </c>
    </row>
    <row r="17" spans="1:18" x14ac:dyDescent="0.15">
      <c r="A17" t="s">
        <v>563</v>
      </c>
      <c r="B17">
        <f t="shared" si="0"/>
        <v>1</v>
      </c>
      <c r="C17">
        <f>COUNTIF($B$15:B17,B17)</f>
        <v>3</v>
      </c>
      <c r="D17">
        <v>2</v>
      </c>
      <c r="E17" s="89">
        <f t="shared" ref="E17:E34" si="3">E16+1</f>
        <v>2032</v>
      </c>
      <c r="F17" s="92">
        <f>IF(C17=1,$F$13*(SUMIFS(Dynamic!$D$34:$D$62,Dynamic!$C$34:$C$62,SUMIFS($E$15:$E$34,$B$15:$B$34,B17,$C$15:$C$34,1))-SUMIFS(Dynamic!$D$34:$D$62,Dynamic!$C$34:$C$62,SUMIFS($E$15:$E$34,$B$15:$B$34,B17-1,$C$15:$C$34,1))*IFERROR(INDEX(Parameters!$B$83:$B$92,DV_age),10%)),0)</f>
        <v>0</v>
      </c>
      <c r="G17" s="92">
        <f>$F$13*(SUMIFS(Dynamic!$D$34:$D$62,Dynamic!$C$34:$C$62,SUMIFS($E$15:$E$34,$B$15:$B$34,B17,$C$15:$C$34,1)))*IF(C17&gt;10,Parameters!$D$93/(DV_age-10),INDEX(Parameters!$D$83:$D$92,C17))</f>
        <v>20902.414421423393</v>
      </c>
      <c r="H17" s="92">
        <f>'Input-Output Module'!$C$78</f>
        <v>8600.4777991373412</v>
      </c>
      <c r="I17" s="92">
        <f>Calculatie!$B$57*(Calculatie!$B$74*((1+Dynamic!$D$2)^'Breakeven analyse'!D17))+Calculatie!$B$67</f>
        <v>39511.512838922557</v>
      </c>
      <c r="J17" s="92">
        <f>'Input-Output Module'!$C$87+'Input-Output Module'!$C$88+'Input-Output Module'!$C$89+'Input-Output Module'!$C$90</f>
        <v>6967.5498399999997</v>
      </c>
      <c r="K17" s="92">
        <f>'Input-Output Module'!$C$91</f>
        <v>0</v>
      </c>
      <c r="L17" s="92">
        <f>'Input-Output Module'!$C$92</f>
        <v>0</v>
      </c>
      <c r="M17" s="92">
        <f>'Input-Output Module'!$C$93</f>
        <v>0</v>
      </c>
      <c r="N17" s="92">
        <f>'Input-Output Module'!$C$94</f>
        <v>399.10124999999999</v>
      </c>
      <c r="O17" s="92">
        <f>'Input-Output Module'!$C$98</f>
        <v>0</v>
      </c>
      <c r="P17" s="92">
        <f>'Input-Output Module'!$C$99</f>
        <v>0</v>
      </c>
      <c r="Q17" s="92">
        <f t="shared" si="1"/>
        <v>76381.056149483309</v>
      </c>
      <c r="R17" s="92">
        <f t="shared" si="2"/>
        <v>55478.641728059898</v>
      </c>
    </row>
    <row r="18" spans="1:18" x14ac:dyDescent="0.15">
      <c r="A18" t="s">
        <v>563</v>
      </c>
      <c r="B18">
        <f t="shared" si="0"/>
        <v>1</v>
      </c>
      <c r="C18">
        <f>COUNTIF($B$15:B18,B18)</f>
        <v>4</v>
      </c>
      <c r="D18">
        <v>3</v>
      </c>
      <c r="E18" s="89">
        <f t="shared" si="3"/>
        <v>2033</v>
      </c>
      <c r="F18" s="92">
        <f>IF(C18=1,$F$13*(SUMIFS(Dynamic!$D$34:$D$62,Dynamic!$C$34:$C$62,SUMIFS($E$15:$E$34,$B$15:$B$34,B18,$C$15:$C$34,1))-SUMIFS(Dynamic!$D$34:$D$62,Dynamic!$C$34:$C$62,SUMIFS($E$15:$E$34,$B$15:$B$34,B18-1,$C$15:$C$34,1))*IFERROR(INDEX(Parameters!$B$83:$B$92,DV_age),10%)),0)</f>
        <v>0</v>
      </c>
      <c r="G18" s="92">
        <f>$F$13*(SUMIFS(Dynamic!$D$34:$D$62,Dynamic!$C$34:$C$62,SUMIFS($E$15:$E$34,$B$15:$B$34,B18,$C$15:$C$34,1)))*IF(C18&gt;10,Parameters!$D$93/(DV_age-10),INDEX(Parameters!$D$83:$D$92,C18))</f>
        <v>16947.74859380001</v>
      </c>
      <c r="H18" s="92">
        <f>'Input-Output Module'!$C$78</f>
        <v>8600.4777991373412</v>
      </c>
      <c r="I18" s="92">
        <f>Calculatie!$B$57*(Calculatie!$B$74*((1+Dynamic!$D$2)^'Breakeven analyse'!D18))+Calculatie!$B$67</f>
        <v>39902.824905800553</v>
      </c>
      <c r="J18" s="92">
        <f>'Input-Output Module'!$C$87+'Input-Output Module'!$C$88+'Input-Output Module'!$C$89+'Input-Output Module'!$C$90</f>
        <v>6967.5498399999997</v>
      </c>
      <c r="K18" s="92">
        <f>'Input-Output Module'!$C$91</f>
        <v>0</v>
      </c>
      <c r="L18" s="92">
        <f>'Input-Output Module'!$C$92</f>
        <v>0</v>
      </c>
      <c r="M18" s="92">
        <f>'Input-Output Module'!$C$93</f>
        <v>0</v>
      </c>
      <c r="N18" s="92">
        <f>'Input-Output Module'!$C$94</f>
        <v>399.10124999999999</v>
      </c>
      <c r="O18" s="92">
        <f>'Input-Output Module'!$C$98</f>
        <v>0</v>
      </c>
      <c r="P18" s="92">
        <f>'Input-Output Module'!$C$99</f>
        <v>0</v>
      </c>
      <c r="Q18" s="92">
        <f t="shared" si="1"/>
        <v>72817.702388737904</v>
      </c>
      <c r="R18" s="92">
        <f t="shared" si="2"/>
        <v>55869.953794937894</v>
      </c>
    </row>
    <row r="19" spans="1:18" x14ac:dyDescent="0.15">
      <c r="A19" t="s">
        <v>563</v>
      </c>
      <c r="B19">
        <f t="shared" si="0"/>
        <v>1</v>
      </c>
      <c r="C19">
        <f>COUNTIF($B$15:B19,B19)</f>
        <v>5</v>
      </c>
      <c r="D19">
        <v>4</v>
      </c>
      <c r="E19" s="89">
        <f t="shared" si="3"/>
        <v>2034</v>
      </c>
      <c r="F19" s="92">
        <f>IF(C19=1,$F$13*(SUMIFS(Dynamic!$D$34:$D$62,Dynamic!$C$34:$C$62,SUMIFS($E$15:$E$34,$B$15:$B$34,B19,$C$15:$C$34,1))-SUMIFS(Dynamic!$D$34:$D$62,Dynamic!$C$34:$C$62,SUMIFS($E$15:$E$34,$B$15:$B$34,B19-1,$C$15:$C$34,1))*IFERROR(INDEX(Parameters!$B$83:$B$92,DV_age),10%)),0)</f>
        <v>0</v>
      </c>
      <c r="G19" s="92">
        <f>$F$13*(SUMIFS(Dynamic!$D$34:$D$62,Dynamic!$C$34:$C$62,SUMIFS($E$15:$E$34,$B$15:$B$34,B19,$C$15:$C$34,1)))*IF(C19&gt;10,Parameters!$D$93/(DV_age-10),INDEX(Parameters!$D$83:$D$92,C19))</f>
        <v>13741.292111415865</v>
      </c>
      <c r="H19" s="92">
        <f>'Input-Output Module'!$C$78</f>
        <v>8600.4777991373412</v>
      </c>
      <c r="I19" s="92">
        <f>Calculatie!$B$57*(Calculatie!$B$74*((1+Dynamic!$D$2)^'Breakeven analyse'!D19))+Calculatie!$B$67</f>
        <v>40298.050093347338</v>
      </c>
      <c r="J19" s="92">
        <f>'Input-Output Module'!$C$87+'Input-Output Module'!$C$88+'Input-Output Module'!$C$89+'Input-Output Module'!$C$90</f>
        <v>6967.5498399999997</v>
      </c>
      <c r="K19" s="92">
        <f>'Input-Output Module'!$C$91</f>
        <v>0</v>
      </c>
      <c r="L19" s="92">
        <f>'Input-Output Module'!$C$92</f>
        <v>0</v>
      </c>
      <c r="M19" s="92">
        <f>'Input-Output Module'!$C$93</f>
        <v>0</v>
      </c>
      <c r="N19" s="92">
        <f>'Input-Output Module'!$C$94</f>
        <v>399.10124999999999</v>
      </c>
      <c r="O19" s="92">
        <f>'Input-Output Module'!$C$98</f>
        <v>0</v>
      </c>
      <c r="P19" s="92">
        <f>'Input-Output Module'!$C$99</f>
        <v>0</v>
      </c>
      <c r="Q19" s="92">
        <f t="shared" si="1"/>
        <v>70006.47109390056</v>
      </c>
      <c r="R19" s="92">
        <f t="shared" si="2"/>
        <v>56265.178982484678</v>
      </c>
    </row>
    <row r="20" spans="1:18" x14ac:dyDescent="0.15">
      <c r="A20" t="s">
        <v>563</v>
      </c>
      <c r="B20">
        <f t="shared" si="0"/>
        <v>1</v>
      </c>
      <c r="C20">
        <f>COUNTIF($B$15:B20,B20)</f>
        <v>6</v>
      </c>
      <c r="D20">
        <v>5</v>
      </c>
      <c r="E20" s="89">
        <f t="shared" si="3"/>
        <v>2035</v>
      </c>
      <c r="F20" s="92">
        <f>IF(C20=1,$F$13*(SUMIFS(Dynamic!$D$34:$D$62,Dynamic!$C$34:$C$62,SUMIFS($E$15:$E$34,$B$15:$B$34,B20,$C$15:$C$34,1))-SUMIFS(Dynamic!$D$34:$D$62,Dynamic!$C$34:$C$62,SUMIFS($E$15:$E$34,$B$15:$B$34,B20-1,$C$15:$C$34,1))*IFERROR(INDEX(Parameters!$B$83:$B$92,DV_age),10%)),0)</f>
        <v>0</v>
      </c>
      <c r="G20" s="92">
        <f>$F$13*(SUMIFS(Dynamic!$D$34:$D$62,Dynamic!$C$34:$C$62,SUMIFS($E$15:$E$34,$B$15:$B$34,B20,$C$15:$C$34,1)))*IF(C20&gt;10,Parameters!$D$93/(DV_age-10),INDEX(Parameters!$D$83:$D$92,C20))</f>
        <v>11141.486306938537</v>
      </c>
      <c r="H20" s="92">
        <f>'Input-Output Module'!$C$78</f>
        <v>8600.4777991373412</v>
      </c>
      <c r="I20" s="92">
        <f>Calculatie!$B$57*(Calculatie!$B$74*((1+Dynamic!$D$2)^'Breakeven analyse'!D20))+Calculatie!$B$67</f>
        <v>40697.22753276959</v>
      </c>
      <c r="J20" s="92">
        <f>'Input-Output Module'!$C$87+'Input-Output Module'!$C$88+'Input-Output Module'!$C$89+'Input-Output Module'!$C$90</f>
        <v>6967.5498399999997</v>
      </c>
      <c r="K20" s="92">
        <f>'Input-Output Module'!$C$91</f>
        <v>0</v>
      </c>
      <c r="L20" s="92">
        <f>'Input-Output Module'!$C$92</f>
        <v>0</v>
      </c>
      <c r="M20" s="92">
        <f>'Input-Output Module'!$C$93</f>
        <v>0</v>
      </c>
      <c r="N20" s="92">
        <f>'Input-Output Module'!$C$94</f>
        <v>399.10124999999999</v>
      </c>
      <c r="O20" s="92">
        <f>'Input-Output Module'!$C$98</f>
        <v>0</v>
      </c>
      <c r="P20" s="92">
        <f>'Input-Output Module'!$C$99</f>
        <v>0</v>
      </c>
      <c r="Q20" s="92">
        <f t="shared" si="1"/>
        <v>67805.842728845484</v>
      </c>
      <c r="R20" s="92">
        <f t="shared" si="2"/>
        <v>56664.35642190693</v>
      </c>
    </row>
    <row r="21" spans="1:18" x14ac:dyDescent="0.15">
      <c r="A21" t="s">
        <v>563</v>
      </c>
      <c r="B21">
        <f t="shared" si="0"/>
        <v>1</v>
      </c>
      <c r="C21">
        <f>COUNTIF($B$15:B21,B21)</f>
        <v>7</v>
      </c>
      <c r="D21">
        <v>6</v>
      </c>
      <c r="E21" s="89">
        <f t="shared" si="3"/>
        <v>2036</v>
      </c>
      <c r="F21" s="92">
        <f>IF(C21=1,$F$13*(SUMIFS(Dynamic!$D$34:$D$62,Dynamic!$C$34:$C$62,SUMIFS($E$15:$E$34,$B$15:$B$34,B21,$C$15:$C$34,1))-SUMIFS(Dynamic!$D$34:$D$62,Dynamic!$C$34:$C$62,SUMIFS($E$15:$E$34,$B$15:$B$34,B21-1,$C$15:$C$34,1))*IFERROR(INDEX(Parameters!$B$83:$B$92,DV_age),10%)),0)</f>
        <v>0</v>
      </c>
      <c r="G21" s="92">
        <f>$F$13*(SUMIFS(Dynamic!$D$34:$D$62,Dynamic!$C$34:$C$62,SUMIFS($E$15:$E$34,$B$15:$B$34,B21,$C$15:$C$34,1)))*IF(C21&gt;10,Parameters!$D$93/(DV_age-10),INDEX(Parameters!$D$83:$D$92,C21))</f>
        <v>9033.5549321867165</v>
      </c>
      <c r="H21" s="92">
        <f>'Input-Output Module'!$C$78</f>
        <v>8600.4777991373412</v>
      </c>
      <c r="I21" s="92">
        <f>Calculatie!$B$57*(Calculatie!$B$74*((1+Dynamic!$D$2)^'Breakeven analyse'!D21))+Calculatie!$B$67</f>
        <v>41100.396746586062</v>
      </c>
      <c r="J21" s="92">
        <f>'Input-Output Module'!$C$87+'Input-Output Module'!$C$88+'Input-Output Module'!$C$89+'Input-Output Module'!$C$90</f>
        <v>6967.5498399999997</v>
      </c>
      <c r="K21" s="92">
        <f>'Input-Output Module'!$C$91</f>
        <v>0</v>
      </c>
      <c r="L21" s="92">
        <f>'Input-Output Module'!$C$92</f>
        <v>0</v>
      </c>
      <c r="M21" s="92">
        <f>'Input-Output Module'!$C$93</f>
        <v>0</v>
      </c>
      <c r="N21" s="92">
        <f>'Input-Output Module'!$C$94</f>
        <v>399.10124999999999</v>
      </c>
      <c r="O21" s="92">
        <f>'Input-Output Module'!$C$98</f>
        <v>0</v>
      </c>
      <c r="P21" s="92">
        <f>'Input-Output Module'!$C$99</f>
        <v>0</v>
      </c>
      <c r="Q21" s="92">
        <f t="shared" si="1"/>
        <v>66101.080567910132</v>
      </c>
      <c r="R21" s="92">
        <f t="shared" si="2"/>
        <v>57067.525635723403</v>
      </c>
    </row>
    <row r="22" spans="1:18" x14ac:dyDescent="0.15">
      <c r="A22" t="s">
        <v>563</v>
      </c>
      <c r="B22">
        <f t="shared" si="0"/>
        <v>2</v>
      </c>
      <c r="C22">
        <f>COUNTIF($B$15:B22,B22)</f>
        <v>1</v>
      </c>
      <c r="D22">
        <v>7</v>
      </c>
      <c r="E22" s="89">
        <f t="shared" si="3"/>
        <v>2037</v>
      </c>
      <c r="F22" s="92">
        <f>IF(C22=1,$F$13*(SUMIFS(Dynamic!$D$34:$D$62,Dynamic!$C$34:$C$62,SUMIFS($E$15:$E$34,$B$15:$B$34,B22,$C$15:$C$34,1))-SUMIFS(Dynamic!$D$34:$D$62,Dynamic!$C$34:$C$62,SUMIFS($E$15:$E$34,$B$15:$B$34,B22-1,$C$15:$C$34,1))*IFERROR(INDEX(Parameters!$B$83:$B$92,DV_age),10%)),0)</f>
        <v>133675.67103314147</v>
      </c>
      <c r="G22" s="92">
        <f>$F$13*(SUMIFS(Dynamic!$D$34:$D$62,Dynamic!$C$34:$C$62,SUMIFS($E$15:$E$34,$B$15:$B$34,B22,$C$15:$C$34,1)))*IF(C22&gt;10,Parameters!$D$93/(DV_age-10),INDEX(Parameters!$D$83:$D$92,C22))</f>
        <v>32166.06100003704</v>
      </c>
      <c r="H22" s="92">
        <f>'Input-Output Module'!$C$78</f>
        <v>8600.4777991373412</v>
      </c>
      <c r="I22" s="92">
        <f>Calculatie!$B$57*(Calculatie!$B$74*((1+Dynamic!$D$2)^'Breakeven analyse'!D22))+Calculatie!$B$67</f>
        <v>41507.597652540688</v>
      </c>
      <c r="J22" s="92">
        <f>'Input-Output Module'!$C$87+'Input-Output Module'!$C$88+'Input-Output Module'!$C$89+'Input-Output Module'!$C$90</f>
        <v>6967.5498399999997</v>
      </c>
      <c r="K22" s="92">
        <f>'Input-Output Module'!$C$91</f>
        <v>0</v>
      </c>
      <c r="L22" s="92">
        <f>'Input-Output Module'!$C$92</f>
        <v>0</v>
      </c>
      <c r="M22" s="92">
        <f>'Input-Output Module'!$C$93</f>
        <v>0</v>
      </c>
      <c r="N22" s="92">
        <f>'Input-Output Module'!$C$94</f>
        <v>399.10124999999999</v>
      </c>
      <c r="O22" s="92">
        <f>'Input-Output Module'!$C$98</f>
        <v>0</v>
      </c>
      <c r="P22" s="92">
        <f>'Input-Output Module'!$C$99</f>
        <v>0</v>
      </c>
      <c r="Q22" s="92">
        <f t="shared" si="1"/>
        <v>89640.787541715079</v>
      </c>
      <c r="R22" s="92">
        <f t="shared" si="2"/>
        <v>57474.726541678028</v>
      </c>
    </row>
    <row r="23" spans="1:18" x14ac:dyDescent="0.15">
      <c r="A23" t="s">
        <v>563</v>
      </c>
      <c r="B23">
        <f t="shared" si="0"/>
        <v>2</v>
      </c>
      <c r="C23">
        <f>COUNTIF($B$15:B23,B23)</f>
        <v>2</v>
      </c>
      <c r="D23">
        <v>8</v>
      </c>
      <c r="E23" s="89">
        <f t="shared" si="3"/>
        <v>2038</v>
      </c>
      <c r="F23" s="92">
        <f>IF(C23=1,$F$13*(SUMIFS(Dynamic!$D$34:$D$62,Dynamic!$C$34:$C$62,SUMIFS($E$15:$E$34,$B$15:$B$34,B23,$C$15:$C$34,1))-SUMIFS(Dynamic!$D$34:$D$62,Dynamic!$C$34:$C$62,SUMIFS($E$15:$E$34,$B$15:$B$34,B23-1,$C$15:$C$34,1))*IFERROR(INDEX(Parameters!$B$83:$B$92,DV_age),10%)),0)</f>
        <v>0</v>
      </c>
      <c r="G23" s="92">
        <f>$F$13*(SUMIFS(Dynamic!$D$34:$D$62,Dynamic!$C$34:$C$62,SUMIFS($E$15:$E$34,$B$15:$B$34,B23,$C$15:$C$34,1)))*IF(C23&gt;10,Parameters!$D$93/(DV_age-10),INDEX(Parameters!$D$83:$D$92,C23))</f>
        <v>26529.710524919959</v>
      </c>
      <c r="H23" s="92">
        <f>'Input-Output Module'!$C$78</f>
        <v>8600.4777991373412</v>
      </c>
      <c r="I23" s="92">
        <f>Calculatie!$B$57*(Calculatie!$B$74*((1+Dynamic!$D$2)^'Breakeven analyse'!D23))+Calculatie!$B$67</f>
        <v>41918.870567554877</v>
      </c>
      <c r="J23" s="92">
        <f>'Input-Output Module'!$C$87+'Input-Output Module'!$C$88+'Input-Output Module'!$C$89+'Input-Output Module'!$C$90</f>
        <v>6967.5498399999997</v>
      </c>
      <c r="K23" s="92">
        <f>'Input-Output Module'!$C$91</f>
        <v>0</v>
      </c>
      <c r="L23" s="92">
        <f>'Input-Output Module'!$C$92</f>
        <v>0</v>
      </c>
      <c r="M23" s="92">
        <f>'Input-Output Module'!$C$93</f>
        <v>0</v>
      </c>
      <c r="N23" s="92">
        <f>'Input-Output Module'!$C$94</f>
        <v>399.10124999999999</v>
      </c>
      <c r="O23" s="92">
        <f>'Input-Output Module'!$C$98</f>
        <v>0</v>
      </c>
      <c r="P23" s="92">
        <f>'Input-Output Module'!$C$99</f>
        <v>0</v>
      </c>
      <c r="Q23" s="92">
        <f t="shared" si="1"/>
        <v>84415.709981612192</v>
      </c>
      <c r="R23" s="92">
        <f t="shared" si="2"/>
        <v>57885.999456692218</v>
      </c>
    </row>
    <row r="24" spans="1:18" x14ac:dyDescent="0.15">
      <c r="A24" t="s">
        <v>563</v>
      </c>
      <c r="B24">
        <f t="shared" si="0"/>
        <v>2</v>
      </c>
      <c r="C24">
        <f>COUNTIF($B$15:B24,B24)</f>
        <v>3</v>
      </c>
      <c r="D24">
        <v>9</v>
      </c>
      <c r="E24" s="89">
        <f t="shared" si="3"/>
        <v>2039</v>
      </c>
      <c r="F24" s="92">
        <f>IF(C24=1,$F$13*(SUMIFS(Dynamic!$D$34:$D$62,Dynamic!$C$34:$C$62,SUMIFS($E$15:$E$34,$B$15:$B$34,B24,$C$15:$C$34,1))-SUMIFS(Dynamic!$D$34:$D$62,Dynamic!$C$34:$C$62,SUMIFS($E$15:$E$34,$B$15:$B$34,B24-1,$C$15:$C$34,1))*IFERROR(INDEX(Parameters!$B$83:$B$92,DV_age),10%)),0)</f>
        <v>0</v>
      </c>
      <c r="G24" s="92">
        <f>$F$13*(SUMIFS(Dynamic!$D$34:$D$62,Dynamic!$C$34:$C$62,SUMIFS($E$15:$E$34,$B$15:$B$34,B24,$C$15:$C$34,1)))*IF(C24&gt;10,Parameters!$D$93/(DV_age-10),INDEX(Parameters!$D$83:$D$92,C24))</f>
        <v>21510.379383819363</v>
      </c>
      <c r="H24" s="92">
        <f>'Input-Output Module'!$C$78</f>
        <v>8600.4777991373412</v>
      </c>
      <c r="I24" s="92">
        <f>Calculatie!$B$57*(Calculatie!$B$74*((1+Dynamic!$D$2)^'Breakeven analyse'!D24))+Calculatie!$B$67</f>
        <v>42334.256211719206</v>
      </c>
      <c r="J24" s="92">
        <f>'Input-Output Module'!$C$87+'Input-Output Module'!$C$88+'Input-Output Module'!$C$89+'Input-Output Module'!$C$90</f>
        <v>6967.5498399999997</v>
      </c>
      <c r="K24" s="92">
        <f>'Input-Output Module'!$C$91</f>
        <v>0</v>
      </c>
      <c r="L24" s="92">
        <f>'Input-Output Module'!$C$92</f>
        <v>0</v>
      </c>
      <c r="M24" s="92">
        <f>'Input-Output Module'!$C$93</f>
        <v>0</v>
      </c>
      <c r="N24" s="92">
        <f>'Input-Output Module'!$C$94</f>
        <v>399.10124999999999</v>
      </c>
      <c r="O24" s="92">
        <f>'Input-Output Module'!$C$98</f>
        <v>0</v>
      </c>
      <c r="P24" s="92">
        <f>'Input-Output Module'!$C$99</f>
        <v>0</v>
      </c>
      <c r="Q24" s="92">
        <f t="shared" si="1"/>
        <v>79811.764484675921</v>
      </c>
      <c r="R24" s="92">
        <f t="shared" si="2"/>
        <v>58301.385100856547</v>
      </c>
    </row>
    <row r="25" spans="1:18" x14ac:dyDescent="0.15">
      <c r="A25" t="s">
        <v>563</v>
      </c>
      <c r="B25">
        <f t="shared" si="0"/>
        <v>2</v>
      </c>
      <c r="C25">
        <f>COUNTIF($B$15:B25,B25)</f>
        <v>4</v>
      </c>
      <c r="D25">
        <v>10</v>
      </c>
      <c r="E25" s="89">
        <f t="shared" si="3"/>
        <v>2040</v>
      </c>
      <c r="F25" s="92">
        <f>IF(C25=1,$F$13*(SUMIFS(Dynamic!$D$34:$D$62,Dynamic!$C$34:$C$62,SUMIFS($E$15:$E$34,$B$15:$B$34,B25,$C$15:$C$34,1))-SUMIFS(Dynamic!$D$34:$D$62,Dynamic!$C$34:$C$62,SUMIFS($E$15:$E$34,$B$15:$B$34,B25-1,$C$15:$C$34,1))*IFERROR(INDEX(Parameters!$B$83:$B$92,DV_age),10%)),0)</f>
        <v>0</v>
      </c>
      <c r="G25" s="92">
        <f>$F$13*(SUMIFS(Dynamic!$D$34:$D$62,Dynamic!$C$34:$C$62,SUMIFS($E$15:$E$34,$B$15:$B$34,B25,$C$15:$C$34,1)))*IF(C25&gt;10,Parameters!$D$93/(DV_age-10),INDEX(Parameters!$D$83:$D$92,C25))</f>
        <v>17440.688649852367</v>
      </c>
      <c r="H25" s="92">
        <f>'Input-Output Module'!$C$78</f>
        <v>8600.4777991373412</v>
      </c>
      <c r="I25" s="92">
        <f>Calculatie!$B$57*(Calculatie!$B$74*((1+Dynamic!$D$2)^'Breakeven analyse'!D25))+Calculatie!$B$67</f>
        <v>42753.795712325184</v>
      </c>
      <c r="J25" s="92">
        <f>'Input-Output Module'!$C$87+'Input-Output Module'!$C$88+'Input-Output Module'!$C$89+'Input-Output Module'!$C$90</f>
        <v>6967.5498399999997</v>
      </c>
      <c r="K25" s="92">
        <f>'Input-Output Module'!$C$91</f>
        <v>0</v>
      </c>
      <c r="L25" s="92">
        <f>'Input-Output Module'!$C$92</f>
        <v>0</v>
      </c>
      <c r="M25" s="92">
        <f>'Input-Output Module'!$C$93</f>
        <v>0</v>
      </c>
      <c r="N25" s="92">
        <f>'Input-Output Module'!$C$94</f>
        <v>399.10124999999999</v>
      </c>
      <c r="O25" s="92">
        <f>'Input-Output Module'!$C$98</f>
        <v>0</v>
      </c>
      <c r="P25" s="92">
        <f>'Input-Output Module'!$C$99</f>
        <v>0</v>
      </c>
      <c r="Q25" s="92">
        <f t="shared" si="1"/>
        <v>76161.613251314906</v>
      </c>
      <c r="R25" s="92">
        <f t="shared" si="2"/>
        <v>58720.924601462524</v>
      </c>
    </row>
    <row r="26" spans="1:18" x14ac:dyDescent="0.15">
      <c r="A26" t="s">
        <v>563</v>
      </c>
      <c r="B26">
        <f t="shared" si="0"/>
        <v>2</v>
      </c>
      <c r="C26">
        <f>COUNTIF($B$15:B26,B26)</f>
        <v>5</v>
      </c>
      <c r="D26">
        <v>11</v>
      </c>
      <c r="E26" s="89">
        <f t="shared" si="3"/>
        <v>2041</v>
      </c>
      <c r="F26" s="92">
        <f>IF(C26=1,$F$13*(SUMIFS(Dynamic!$D$34:$D$62,Dynamic!$C$34:$C$62,SUMIFS($E$15:$E$34,$B$15:$B$34,B26,$C$15:$C$34,1))-SUMIFS(Dynamic!$D$34:$D$62,Dynamic!$C$34:$C$62,SUMIFS($E$15:$E$34,$B$15:$B$34,B26-1,$C$15:$C$34,1))*IFERROR(INDEX(Parameters!$B$83:$B$92,DV_age),10%)),0)</f>
        <v>0</v>
      </c>
      <c r="G26" s="92">
        <f>$F$13*(SUMIFS(Dynamic!$D$34:$D$62,Dynamic!$C$34:$C$62,SUMIFS($E$15:$E$34,$B$15:$B$34,B26,$C$15:$C$34,1)))*IF(C26&gt;10,Parameters!$D$93/(DV_age-10),INDEX(Parameters!$D$83:$D$92,C26))</f>
        <v>14140.969582800539</v>
      </c>
      <c r="H26" s="92">
        <f>'Input-Output Module'!$C$78</f>
        <v>8600.4777991373412</v>
      </c>
      <c r="I26" s="92">
        <f>Calculatie!$B$57*(Calculatie!$B$74*((1+Dynamic!$D$2)^'Breakeven analyse'!D26))+Calculatie!$B$67</f>
        <v>43177.530607937195</v>
      </c>
      <c r="J26" s="92">
        <f>'Input-Output Module'!$C$87+'Input-Output Module'!$C$88+'Input-Output Module'!$C$89+'Input-Output Module'!$C$90</f>
        <v>6967.5498399999997</v>
      </c>
      <c r="K26" s="92">
        <f>'Input-Output Module'!$C$91</f>
        <v>0</v>
      </c>
      <c r="L26" s="92">
        <f>'Input-Output Module'!$C$92</f>
        <v>0</v>
      </c>
      <c r="M26" s="92">
        <f>'Input-Output Module'!$C$93</f>
        <v>0</v>
      </c>
      <c r="N26" s="92">
        <f>'Input-Output Module'!$C$94</f>
        <v>399.10124999999999</v>
      </c>
      <c r="O26" s="92">
        <f>'Input-Output Module'!$C$98</f>
        <v>0</v>
      </c>
      <c r="P26" s="92">
        <f>'Input-Output Module'!$C$99</f>
        <v>0</v>
      </c>
      <c r="Q26" s="92">
        <f t="shared" si="1"/>
        <v>73285.629079875071</v>
      </c>
      <c r="R26" s="92">
        <f t="shared" si="2"/>
        <v>59144.659497074535</v>
      </c>
    </row>
    <row r="27" spans="1:18" x14ac:dyDescent="0.15">
      <c r="A27" t="s">
        <v>563</v>
      </c>
      <c r="B27">
        <f t="shared" si="0"/>
        <v>2</v>
      </c>
      <c r="C27">
        <f>COUNTIF($B$15:B27,B27)</f>
        <v>6</v>
      </c>
      <c r="D27">
        <v>12</v>
      </c>
      <c r="E27" s="89">
        <f t="shared" si="3"/>
        <v>2042</v>
      </c>
      <c r="F27" s="92">
        <f>IF(C27=1,$F$13*(SUMIFS(Dynamic!$D$34:$D$62,Dynamic!$C$34:$C$62,SUMIFS($E$15:$E$34,$B$15:$B$34,B27,$C$15:$C$34,1))-SUMIFS(Dynamic!$D$34:$D$62,Dynamic!$C$34:$C$62,SUMIFS($E$15:$E$34,$B$15:$B$34,B27-1,$C$15:$C$34,1))*IFERROR(INDEX(Parameters!$B$83:$B$92,DV_age),10%)),0)</f>
        <v>0</v>
      </c>
      <c r="G27" s="92">
        <f>$F$13*(SUMIFS(Dynamic!$D$34:$D$62,Dynamic!$C$34:$C$62,SUMIFS($E$15:$E$34,$B$15:$B$34,B27,$C$15:$C$34,1)))*IF(C27&gt;10,Parameters!$D$93/(DV_age-10),INDEX(Parameters!$D$83:$D$92,C27))</f>
        <v>11465.546157971377</v>
      </c>
      <c r="H27" s="92">
        <f>'Input-Output Module'!$C$78</f>
        <v>8600.4777991373412</v>
      </c>
      <c r="I27" s="92">
        <f>Calculatie!$B$57*(Calculatie!$B$74*((1+Dynamic!$D$2)^'Breakeven analyse'!D27))+Calculatie!$B$67</f>
        <v>43605.502852505342</v>
      </c>
      <c r="J27" s="92">
        <f>'Input-Output Module'!$C$87+'Input-Output Module'!$C$88+'Input-Output Module'!$C$89+'Input-Output Module'!$C$90</f>
        <v>6967.5498399999997</v>
      </c>
      <c r="K27" s="92">
        <f>'Input-Output Module'!$C$91</f>
        <v>0</v>
      </c>
      <c r="L27" s="92">
        <f>'Input-Output Module'!$C$92</f>
        <v>0</v>
      </c>
      <c r="M27" s="92">
        <f>'Input-Output Module'!$C$93</f>
        <v>0</v>
      </c>
      <c r="N27" s="92">
        <f>'Input-Output Module'!$C$94</f>
        <v>399.10124999999999</v>
      </c>
      <c r="O27" s="92">
        <f>'Input-Output Module'!$C$98</f>
        <v>0</v>
      </c>
      <c r="P27" s="92">
        <f>'Input-Output Module'!$C$99</f>
        <v>0</v>
      </c>
      <c r="Q27" s="92">
        <f t="shared" si="1"/>
        <v>71038.177899614064</v>
      </c>
      <c r="R27" s="92">
        <f t="shared" si="2"/>
        <v>59572.631741642683</v>
      </c>
    </row>
    <row r="28" spans="1:18" x14ac:dyDescent="0.15">
      <c r="A28" t="s">
        <v>563</v>
      </c>
      <c r="B28">
        <f t="shared" si="0"/>
        <v>2</v>
      </c>
      <c r="C28">
        <f>COUNTIF($B$15:B28,B28)</f>
        <v>7</v>
      </c>
      <c r="D28">
        <v>13</v>
      </c>
      <c r="E28" s="89">
        <f t="shared" si="3"/>
        <v>2043</v>
      </c>
      <c r="F28" s="92">
        <f>IF(C28=1,$F$13*(SUMIFS(Dynamic!$D$34:$D$62,Dynamic!$C$34:$C$62,SUMIFS($E$15:$E$34,$B$15:$B$34,B28,$C$15:$C$34,1))-SUMIFS(Dynamic!$D$34:$D$62,Dynamic!$C$34:$C$62,SUMIFS($E$15:$E$34,$B$15:$B$34,B28-1,$C$15:$C$34,1))*IFERROR(INDEX(Parameters!$B$83:$B$92,DV_age),10%)),0)</f>
        <v>0</v>
      </c>
      <c r="G28" s="92">
        <f>$F$13*(SUMIFS(Dynamic!$D$34:$D$62,Dynamic!$C$34:$C$62,SUMIFS($E$15:$E$34,$B$15:$B$34,B28,$C$15:$C$34,1)))*IF(C28&gt;10,Parameters!$D$93/(DV_age-10),INDEX(Parameters!$D$83:$D$92,C28))</f>
        <v>9296.3037598541978</v>
      </c>
      <c r="H28" s="92">
        <f>'Input-Output Module'!$C$78</f>
        <v>8600.4777991373412</v>
      </c>
      <c r="I28" s="92">
        <f>Calculatie!$B$57*(Calculatie!$B$74*((1+Dynamic!$D$2)^'Breakeven analyse'!D28))+Calculatie!$B$67</f>
        <v>44037.754819519178</v>
      </c>
      <c r="J28" s="92">
        <f>'Input-Output Module'!$C$87+'Input-Output Module'!$C$88+'Input-Output Module'!$C$89+'Input-Output Module'!$C$90</f>
        <v>6967.5498399999997</v>
      </c>
      <c r="K28" s="92">
        <f>'Input-Output Module'!$C$91</f>
        <v>0</v>
      </c>
      <c r="L28" s="92">
        <f>'Input-Output Module'!$C$92</f>
        <v>0</v>
      </c>
      <c r="M28" s="92">
        <f>'Input-Output Module'!$C$93</f>
        <v>0</v>
      </c>
      <c r="N28" s="92">
        <f>'Input-Output Module'!$C$94</f>
        <v>399.10124999999999</v>
      </c>
      <c r="O28" s="92">
        <f>'Input-Output Module'!$C$98</f>
        <v>0</v>
      </c>
      <c r="P28" s="92">
        <f>'Input-Output Module'!$C$99</f>
        <v>0</v>
      </c>
      <c r="Q28" s="92">
        <f t="shared" si="1"/>
        <v>69301.187468510732</v>
      </c>
      <c r="R28" s="92">
        <f t="shared" si="2"/>
        <v>60004.883708656518</v>
      </c>
    </row>
    <row r="29" spans="1:18" x14ac:dyDescent="0.15">
      <c r="A29" t="s">
        <v>563</v>
      </c>
      <c r="B29">
        <f t="shared" si="0"/>
        <v>3</v>
      </c>
      <c r="C29">
        <f>COUNTIF($B$15:B29,B29)</f>
        <v>1</v>
      </c>
      <c r="D29">
        <v>14</v>
      </c>
      <c r="E29" s="89">
        <f t="shared" si="3"/>
        <v>2044</v>
      </c>
      <c r="F29" s="92">
        <f>IF(C29=1,$F$13*(SUMIFS(Dynamic!$D$34:$D$62,Dynamic!$C$34:$C$62,SUMIFS($E$15:$E$34,$B$15:$B$34,B29,$C$15:$C$34,1))-SUMIFS(Dynamic!$D$34:$D$62,Dynamic!$C$34:$C$62,SUMIFS($E$15:$E$34,$B$15:$B$34,B29-1,$C$15:$C$34,1))*IFERROR(INDEX(Parameters!$B$83:$B$92,DV_age),10%)),0)</f>
        <v>137422.02748030747</v>
      </c>
      <c r="G29" s="92">
        <f>$F$13*(SUMIFS(Dynamic!$D$34:$D$62,Dynamic!$C$34:$C$62,SUMIFS($E$15:$E$34,$B$15:$B$34,B29,$C$15:$C$34,1)))*IF(C29&gt;10,Parameters!$D$93/(DV_age-10),INDEX(Parameters!$D$83:$D$92,C29))</f>
        <v>33075.19596773661</v>
      </c>
      <c r="H29" s="92">
        <f>'Input-Output Module'!$C$78</f>
        <v>8600.4777991373412</v>
      </c>
      <c r="I29" s="92">
        <f>Calculatie!$B$57*(Calculatie!$B$74*((1+Dynamic!$D$2)^'Breakeven analyse'!D29))+Calculatie!$B$67</f>
        <v>44474.329306203152</v>
      </c>
      <c r="J29" s="92">
        <f>'Input-Output Module'!$C$87+'Input-Output Module'!$C$88+'Input-Output Module'!$C$89+'Input-Output Module'!$C$90</f>
        <v>6967.5498399999997</v>
      </c>
      <c r="K29" s="92">
        <f>'Input-Output Module'!$C$91</f>
        <v>0</v>
      </c>
      <c r="L29" s="92">
        <f>'Input-Output Module'!$C$92</f>
        <v>0</v>
      </c>
      <c r="M29" s="92">
        <f>'Input-Output Module'!$C$93</f>
        <v>0</v>
      </c>
      <c r="N29" s="92">
        <f>'Input-Output Module'!$C$94</f>
        <v>399.10124999999999</v>
      </c>
      <c r="O29" s="92">
        <f>'Input-Output Module'!$C$98</f>
        <v>0</v>
      </c>
      <c r="P29" s="92">
        <f>'Input-Output Module'!$C$99</f>
        <v>0</v>
      </c>
      <c r="Q29" s="92">
        <f t="shared" si="1"/>
        <v>93516.654163077095</v>
      </c>
      <c r="R29" s="92">
        <f t="shared" si="2"/>
        <v>60441.458195340492</v>
      </c>
    </row>
    <row r="30" spans="1:18" x14ac:dyDescent="0.15">
      <c r="A30" t="s">
        <v>563</v>
      </c>
      <c r="B30">
        <f t="shared" si="0"/>
        <v>3</v>
      </c>
      <c r="C30">
        <f>COUNTIF($B$15:B30,B30)</f>
        <v>2</v>
      </c>
      <c r="D30">
        <v>15</v>
      </c>
      <c r="E30" s="89">
        <f t="shared" si="3"/>
        <v>2045</v>
      </c>
      <c r="F30" s="92">
        <f>IF(C30=1,$F$13*(SUMIFS(Dynamic!$D$34:$D$62,Dynamic!$C$34:$C$62,SUMIFS($E$15:$E$34,$B$15:$B$34,B30,$C$15:$C$34,1))-SUMIFS(Dynamic!$D$34:$D$62,Dynamic!$C$34:$C$62,SUMIFS($E$15:$E$34,$B$15:$B$34,B30-1,$C$15:$C$34,1))*IFERROR(INDEX(Parameters!$B$83:$B$92,DV_age),10%)),0)</f>
        <v>0</v>
      </c>
      <c r="G30" s="92">
        <f>$F$13*(SUMIFS(Dynamic!$D$34:$D$62,Dynamic!$C$34:$C$62,SUMIFS($E$15:$E$34,$B$15:$B$34,B30,$C$15:$C$34,1)))*IF(C30&gt;10,Parameters!$D$93/(DV_age-10),INDEX(Parameters!$D$83:$D$92,C30))</f>
        <v>27279.540835853099</v>
      </c>
      <c r="H30" s="92">
        <f>'Input-Output Module'!$C$78</f>
        <v>8600.4777991373412</v>
      </c>
      <c r="I30" s="92">
        <f>Calculatie!$B$57*(Calculatie!$B$74*((1+Dynamic!$D$2)^'Breakeven analyse'!D30))+Calculatie!$B$67</f>
        <v>44915.269537753942</v>
      </c>
      <c r="J30" s="92">
        <f>'Input-Output Module'!$C$87+'Input-Output Module'!$C$88+'Input-Output Module'!$C$89+'Input-Output Module'!$C$90</f>
        <v>6967.5498399999997</v>
      </c>
      <c r="K30" s="92">
        <f>'Input-Output Module'!$C$91</f>
        <v>0</v>
      </c>
      <c r="L30" s="92">
        <f>'Input-Output Module'!$C$92</f>
        <v>0</v>
      </c>
      <c r="M30" s="92">
        <f>'Input-Output Module'!$C$93</f>
        <v>0</v>
      </c>
      <c r="N30" s="92">
        <f>'Input-Output Module'!$C$94</f>
        <v>399.10124999999999</v>
      </c>
      <c r="O30" s="92">
        <f>'Input-Output Module'!$C$98</f>
        <v>0</v>
      </c>
      <c r="P30" s="92">
        <f>'Input-Output Module'!$C$99</f>
        <v>0</v>
      </c>
      <c r="Q30" s="92">
        <f t="shared" si="1"/>
        <v>88161.939262744389</v>
      </c>
      <c r="R30" s="92">
        <f t="shared" si="2"/>
        <v>60882.398426891283</v>
      </c>
    </row>
    <row r="31" spans="1:18" x14ac:dyDescent="0.15">
      <c r="A31" t="s">
        <v>563</v>
      </c>
      <c r="B31">
        <f t="shared" si="0"/>
        <v>3</v>
      </c>
      <c r="C31">
        <f>COUNTIF($B$15:B31,B31)</f>
        <v>3</v>
      </c>
      <c r="D31">
        <v>16</v>
      </c>
      <c r="E31" s="89">
        <f t="shared" si="3"/>
        <v>2046</v>
      </c>
      <c r="F31" s="92">
        <f>IF(C31=1,$F$13*(SUMIFS(Dynamic!$D$34:$D$62,Dynamic!$C$34:$C$62,SUMIFS($E$15:$E$34,$B$15:$B$34,B31,$C$15:$C$34,1))-SUMIFS(Dynamic!$D$34:$D$62,Dynamic!$C$34:$C$62,SUMIFS($E$15:$E$34,$B$15:$B$34,B31-1,$C$15:$C$34,1))*IFERROR(INDEX(Parameters!$B$83:$B$92,DV_age),10%)),0)</f>
        <v>0</v>
      </c>
      <c r="G31" s="92">
        <f>$F$13*(SUMIFS(Dynamic!$D$34:$D$62,Dynamic!$C$34:$C$62,SUMIFS($E$15:$E$34,$B$15:$B$34,B31,$C$15:$C$34,1)))*IF(C31&gt;10,Parameters!$D$93/(DV_age-10),INDEX(Parameters!$D$83:$D$92,C31))</f>
        <v>22118.344346215341</v>
      </c>
      <c r="H31" s="92">
        <f>'Input-Output Module'!$C$78</f>
        <v>8600.4777991373412</v>
      </c>
      <c r="I31" s="92">
        <f>Calculatie!$B$57*(Calculatie!$B$74*((1+Dynamic!$D$2)^'Breakeven analyse'!D31))+Calculatie!$B$67</f>
        <v>45360.619171620274</v>
      </c>
      <c r="J31" s="92">
        <f>'Input-Output Module'!$C$87+'Input-Output Module'!$C$88+'Input-Output Module'!$C$89+'Input-Output Module'!$C$90</f>
        <v>6967.5498399999997</v>
      </c>
      <c r="K31" s="92">
        <f>'Input-Output Module'!$C$91</f>
        <v>0</v>
      </c>
      <c r="L31" s="92">
        <f>'Input-Output Module'!$C$92</f>
        <v>0</v>
      </c>
      <c r="M31" s="92">
        <f>'Input-Output Module'!$C$93</f>
        <v>0</v>
      </c>
      <c r="N31" s="92">
        <f>'Input-Output Module'!$C$94</f>
        <v>399.10124999999999</v>
      </c>
      <c r="O31" s="92">
        <f>'Input-Output Module'!$C$98</f>
        <v>0</v>
      </c>
      <c r="P31" s="92">
        <f>'Input-Output Module'!$C$99</f>
        <v>0</v>
      </c>
      <c r="Q31" s="92">
        <f t="shared" si="1"/>
        <v>83446.092406972952</v>
      </c>
      <c r="R31" s="92">
        <f t="shared" si="2"/>
        <v>61327.748060757614</v>
      </c>
    </row>
    <row r="32" spans="1:18" x14ac:dyDescent="0.15">
      <c r="A32" t="s">
        <v>563</v>
      </c>
      <c r="B32">
        <f t="shared" si="0"/>
        <v>3</v>
      </c>
      <c r="C32">
        <f>COUNTIF($B$15:B32,B32)</f>
        <v>4</v>
      </c>
      <c r="D32">
        <v>17</v>
      </c>
      <c r="E32" s="89">
        <f t="shared" si="3"/>
        <v>2047</v>
      </c>
      <c r="F32" s="92">
        <f>IF(C32=1,$F$13*(SUMIFS(Dynamic!$D$34:$D$62,Dynamic!$C$34:$C$62,SUMIFS($E$15:$E$34,$B$15:$B$34,B32,$C$15:$C$34,1))-SUMIFS(Dynamic!$D$34:$D$62,Dynamic!$C$34:$C$62,SUMIFS($E$15:$E$34,$B$15:$B$34,B32-1,$C$15:$C$34,1))*IFERROR(INDEX(Parameters!$B$83:$B$92,DV_age),10%)),0)</f>
        <v>0</v>
      </c>
      <c r="G32" s="92">
        <f>$F$13*(SUMIFS(Dynamic!$D$34:$D$62,Dynamic!$C$34:$C$62,SUMIFS($E$15:$E$34,$B$15:$B$34,B32,$C$15:$C$34,1)))*IF(C32&gt;10,Parameters!$D$93/(DV_age-10),INDEX(Parameters!$D$83:$D$92,C32))</f>
        <v>17933.628705904724</v>
      </c>
      <c r="H32" s="92">
        <f>'Input-Output Module'!$C$78</f>
        <v>8600.4777991373412</v>
      </c>
      <c r="I32" s="92">
        <f>Calculatie!$B$57*(Calculatie!$B$74*((1+Dynamic!$D$2)^'Breakeven analyse'!D32))+Calculatie!$B$67</f>
        <v>45810.422301825252</v>
      </c>
      <c r="J32" s="92">
        <f>'Input-Output Module'!$C$87+'Input-Output Module'!$C$88+'Input-Output Module'!$C$89+'Input-Output Module'!$C$90</f>
        <v>6967.5498399999997</v>
      </c>
      <c r="K32" s="92">
        <f>'Input-Output Module'!$C$91</f>
        <v>0</v>
      </c>
      <c r="L32" s="92">
        <f>'Input-Output Module'!$C$92</f>
        <v>0</v>
      </c>
      <c r="M32" s="92">
        <f>'Input-Output Module'!$C$93</f>
        <v>0</v>
      </c>
      <c r="N32" s="92">
        <f>'Input-Output Module'!$C$94</f>
        <v>399.10124999999999</v>
      </c>
      <c r="O32" s="92">
        <f>'Input-Output Module'!$C$98</f>
        <v>0</v>
      </c>
      <c r="P32" s="92">
        <f>'Input-Output Module'!$C$99</f>
        <v>0</v>
      </c>
      <c r="Q32" s="92">
        <f t="shared" si="1"/>
        <v>79711.17989686731</v>
      </c>
      <c r="R32" s="92">
        <f t="shared" si="2"/>
        <v>61777.551190962593</v>
      </c>
    </row>
    <row r="33" spans="1:21" x14ac:dyDescent="0.15">
      <c r="A33" t="s">
        <v>563</v>
      </c>
      <c r="B33">
        <f t="shared" si="0"/>
        <v>3</v>
      </c>
      <c r="C33">
        <f>COUNTIF($B$15:B33,B33)</f>
        <v>5</v>
      </c>
      <c r="D33">
        <v>18</v>
      </c>
      <c r="E33" s="89">
        <f t="shared" si="3"/>
        <v>2048</v>
      </c>
      <c r="F33" s="92">
        <f>IF(C33=1,$F$13*(SUMIFS(Dynamic!$D$34:$D$62,Dynamic!$C$34:$C$62,SUMIFS($E$15:$E$34,$B$15:$B$34,B33,$C$15:$C$34,1))-SUMIFS(Dynamic!$D$34:$D$62,Dynamic!$C$34:$C$62,SUMIFS($E$15:$E$34,$B$15:$B$34,B33-1,$C$15:$C$34,1))*IFERROR(INDEX(Parameters!$B$83:$B$92,DV_age),10%)),0)</f>
        <v>0</v>
      </c>
      <c r="G33" s="92">
        <f>$F$13*(SUMIFS(Dynamic!$D$34:$D$62,Dynamic!$C$34:$C$62,SUMIFS($E$15:$E$34,$B$15:$B$34,B33,$C$15:$C$34,1)))*IF(C33&gt;10,Parameters!$D$93/(DV_age-10),INDEX(Parameters!$D$83:$D$92,C33))</f>
        <v>14540.647054185212</v>
      </c>
      <c r="H33" s="92">
        <f>'Input-Output Module'!$C$78</f>
        <v>8600.4777991373412</v>
      </c>
      <c r="I33" s="92">
        <f>Calculatie!$B$57*(Calculatie!$B$74*((1+Dynamic!$D$2)^'Breakeven analyse'!D33))+Calculatie!$B$67</f>
        <v>46264.723463332281</v>
      </c>
      <c r="J33" s="92">
        <f>'Input-Output Module'!$C$87+'Input-Output Module'!$C$88+'Input-Output Module'!$C$89+'Input-Output Module'!$C$90</f>
        <v>6967.5498399999997</v>
      </c>
      <c r="K33" s="92">
        <f>'Input-Output Module'!$C$91</f>
        <v>0</v>
      </c>
      <c r="L33" s="92">
        <f>'Input-Output Module'!$C$92</f>
        <v>0</v>
      </c>
      <c r="M33" s="92">
        <f>'Input-Output Module'!$C$93</f>
        <v>0</v>
      </c>
      <c r="N33" s="92">
        <f>'Input-Output Module'!$C$94</f>
        <v>399.10124999999999</v>
      </c>
      <c r="O33" s="92">
        <f>'Input-Output Module'!$C$98</f>
        <v>0</v>
      </c>
      <c r="P33" s="92">
        <f>'Input-Output Module'!$C$99</f>
        <v>0</v>
      </c>
      <c r="Q33" s="92">
        <f t="shared" si="1"/>
        <v>76772.499406654824</v>
      </c>
      <c r="R33" s="92">
        <f t="shared" si="2"/>
        <v>62231.852352469621</v>
      </c>
    </row>
    <row r="34" spans="1:21" x14ac:dyDescent="0.15">
      <c r="A34" t="s">
        <v>563</v>
      </c>
      <c r="B34">
        <f t="shared" si="0"/>
        <v>3</v>
      </c>
      <c r="C34">
        <f>COUNTIF($B$15:B34,B34)</f>
        <v>6</v>
      </c>
      <c r="D34">
        <v>19</v>
      </c>
      <c r="E34" s="89">
        <f t="shared" si="3"/>
        <v>2049</v>
      </c>
      <c r="F34" s="92">
        <f>IF(C34=1,$F$13*(SUMIFS(Dynamic!$D$34:$D$62,Dynamic!$C$34:$C$62,SUMIFS($E$15:$E$34,$B$15:$B$34,B34,$C$15:$C$34,1))-SUMIFS(Dynamic!$D$34:$D$62,Dynamic!$C$34:$C$62,SUMIFS($E$15:$E$34,$B$15:$B$34,B34-1,$C$15:$C$34,1))*IFERROR(INDEX(Parameters!$B$83:$B$92,DV_age),10%)),0)</f>
        <v>0</v>
      </c>
      <c r="G34" s="92">
        <f>$F$13*(SUMIFS(Dynamic!$D$34:$D$62,Dynamic!$C$34:$C$62,SUMIFS($E$15:$E$34,$B$15:$B$34,B34,$C$15:$C$34,1)))*IF(C34&gt;10,Parameters!$D$93/(DV_age-10),INDEX(Parameters!$D$83:$D$92,C34))</f>
        <v>11789.606009004217</v>
      </c>
      <c r="H34" s="92">
        <f>'Input-Output Module'!$C$78</f>
        <v>8600.4777991373412</v>
      </c>
      <c r="I34" s="92">
        <f>Calculatie!$B$57*(Calculatie!$B$74*((1+Dynamic!$D$2)^'Breakeven analyse'!D34))+Calculatie!$B$67</f>
        <v>46723.567636454369</v>
      </c>
      <c r="J34" s="92">
        <f>'Input-Output Module'!$C$87+'Input-Output Module'!$C$88+'Input-Output Module'!$C$89+'Input-Output Module'!$C$90</f>
        <v>6967.5498399999997</v>
      </c>
      <c r="K34" s="92">
        <f>'Input-Output Module'!$C$91</f>
        <v>0</v>
      </c>
      <c r="L34" s="92">
        <f>'Input-Output Module'!$C$92</f>
        <v>0</v>
      </c>
      <c r="M34" s="92">
        <f>'Input-Output Module'!$C$93</f>
        <v>0</v>
      </c>
      <c r="N34" s="92">
        <f>'Input-Output Module'!$C$94</f>
        <v>399.10124999999999</v>
      </c>
      <c r="O34" s="92">
        <f>'Input-Output Module'!$C$98</f>
        <v>0</v>
      </c>
      <c r="P34" s="92">
        <f>'Input-Output Module'!$C$99</f>
        <v>0</v>
      </c>
      <c r="Q34" s="92">
        <f t="shared" si="1"/>
        <v>74480.302534595918</v>
      </c>
      <c r="R34" s="92">
        <f t="shared" si="2"/>
        <v>62690.696525591709</v>
      </c>
    </row>
    <row r="38" spans="1:21" x14ac:dyDescent="0.15">
      <c r="F38" s="92">
        <f>F13</f>
        <v>132250</v>
      </c>
      <c r="G38" s="92"/>
    </row>
    <row r="39" spans="1:21" x14ac:dyDescent="0.15">
      <c r="F39" s="92">
        <f>F38*(1+(VLOOKUP(('Input-Output Module'!B20-2022),Dynamic!$B$34:$D$62,3)))^0</f>
        <v>132250</v>
      </c>
      <c r="G39" s="92">
        <f>F39+VLOOKUP('Input-Output Module'!$B$20,Dynamic!$C$15:$F$24,4)</f>
        <v>215450</v>
      </c>
      <c r="H39" s="123">
        <f>G39-Calculatie!$C$49</f>
        <v>215450</v>
      </c>
    </row>
    <row r="40" spans="1:21" x14ac:dyDescent="0.15">
      <c r="E40" t="s">
        <v>525</v>
      </c>
      <c r="F40" t="s">
        <v>564</v>
      </c>
      <c r="G40" t="s">
        <v>364</v>
      </c>
      <c r="H40" t="s">
        <v>556</v>
      </c>
      <c r="I40" t="s">
        <v>557</v>
      </c>
      <c r="J40" t="s">
        <v>558</v>
      </c>
      <c r="K40" s="254" t="s">
        <v>415</v>
      </c>
      <c r="L40" s="254" t="s">
        <v>45</v>
      </c>
      <c r="M40" s="254" t="s">
        <v>559</v>
      </c>
      <c r="N40" s="254" t="s">
        <v>560</v>
      </c>
      <c r="O40" s="254" t="s">
        <v>561</v>
      </c>
      <c r="P40" s="254" t="s">
        <v>562</v>
      </c>
      <c r="Q40" t="s">
        <v>565</v>
      </c>
    </row>
    <row r="41" spans="1:21" x14ac:dyDescent="0.15">
      <c r="A41" t="s">
        <v>566</v>
      </c>
      <c r="B41">
        <f t="shared" ref="B41:B60" si="4">IF(MOD(D41,EV_age)=0,ROUNDUP(D41/EV_age,0)+1,ROUNDUP(D41/EV_age,0))</f>
        <v>1</v>
      </c>
      <c r="C41">
        <f>COUNTIF($B$41:B41,B41)</f>
        <v>1</v>
      </c>
      <c r="D41">
        <v>0</v>
      </c>
      <c r="E41" s="89">
        <f>'Input-Output Module'!B20</f>
        <v>2030</v>
      </c>
      <c r="F41" s="123">
        <f>Calculatie!C50</f>
        <v>250000</v>
      </c>
      <c r="G41" s="92">
        <f>IF(B41=1,$F$41,$F$38*(1+Dynamic!$E$30)^(SUMIFS($E$41:$E$60,$B$41:$B$60,B41,$C$41:$C$60,1)-2021)+IF(SUMIFS($E$41:$E$60,$B$41:$B$60,B41,$C$41:$C$60,1)&gt;2030,Dynamic!$F$24,SUMIFS(Dynamic!$F$15:$F$24,Dynamic!$C$15:$C$24,SUMIFS($E$41:$E$60,$B$41:$B$60,B41,$C$41:$C$60,1))))*IF(C41&gt;10,Parameters!$D$93/(EV_age-10),INDEX(Parameters!$D$83:$D$92,C41))</f>
        <v>46647.486865492167</v>
      </c>
      <c r="H41" s="92">
        <f>'Input-Output Module'!$D$78</f>
        <v>14927.357407518604</v>
      </c>
      <c r="I41" s="92">
        <f>('Input-Output Module'!$D$57*Calculatie!$C$57*(Calculatie!$C$74*(1+Dynamic!$D$6)^'Breakeven analyse'!D41))
+
('Input-Output Module'!$D$58*Calculatie!$C$57*(INDEX(Laadinfra8[[#All],[External energy costs (€)]],MATCH('M1-PowerSupply'!$B$49,Laadinfra8[[#All],[Charging type]],0))*(1+Dynamic!$D$6)^'Breakeven analyse'!D41))</f>
        <v>30569.168352037934</v>
      </c>
      <c r="J41" s="92">
        <f>'Input-Output Module'!$D$87+'Input-Output Module'!$D$88+'Input-Output Module'!$D$89+'Input-Output Module'!$D$90</f>
        <v>4768.3668400000006</v>
      </c>
      <c r="K41" s="92">
        <f>'Input-Output Module'!$D$91</f>
        <v>0</v>
      </c>
      <c r="L41" s="92">
        <f>'Input-Output Module'!$D$92</f>
        <v>0</v>
      </c>
      <c r="M41" s="92">
        <f>'Input-Output Module'!$D$93</f>
        <v>0</v>
      </c>
      <c r="N41" s="92">
        <f>'Input-Output Module'!$D$94</f>
        <v>399.10124999999999</v>
      </c>
      <c r="O41" s="92">
        <f>'Input-Output Module'!C38</f>
        <v>29215.5</v>
      </c>
      <c r="P41" s="92">
        <f>'Input-Output Module'!$D$99*(1+Dynamic!$D$4)^'Breakeven analyse'!D41</f>
        <v>3949.25</v>
      </c>
      <c r="Q41" s="92">
        <f>SUM(G41:P41)</f>
        <v>130476.23071504872</v>
      </c>
      <c r="R41" s="92">
        <f>SUM(H41:N41,P41)</f>
        <v>54613.243849556537</v>
      </c>
      <c r="S41" t="b">
        <f>Q41&lt;Q15</f>
        <v>0</v>
      </c>
      <c r="U41" s="247" t="s">
        <v>567</v>
      </c>
    </row>
    <row r="42" spans="1:21" x14ac:dyDescent="0.15">
      <c r="A42" t="s">
        <v>566</v>
      </c>
      <c r="B42">
        <f t="shared" si="4"/>
        <v>1</v>
      </c>
      <c r="C42">
        <f>COUNTIF($B$41:B42,B42)</f>
        <v>2</v>
      </c>
      <c r="D42">
        <v>1</v>
      </c>
      <c r="E42" s="89">
        <f>E41+1</f>
        <v>2031</v>
      </c>
      <c r="F42" s="92">
        <f>IF(C42=1,$F$38*(1+Dynamic!$E$30)^('Breakeven analyse'!D42)-$F$38*(1+Dynamic!$E$30)^('Breakeven analyse'!D42-EV_age)*(IF(EV_age&gt;10,10%,VLOOKUP(EV_age,Parameters!$A$83:$D$92,2)))+IF('Breakeven analyse'!E42&gt;2030,Dynamic!$F$24,SUMIFS(Dynamic!$F$15:$F$24,Dynamic!$C$15:$C$24,'Breakeven analyse'!E42))-IF('Breakeven analyse'!E42-EV_age&gt;2030,Dynamic!$F$24,SUMIFS(Dynamic!$F$15:$F$24,Dynamic!$C$15:$C$24,'Breakeven analyse'!E42-EV_age))*(IF(EV_age&gt;10,10%,VLOOKUP(EV_age,Parameters!$A$83:$D$92,2))),0)</f>
        <v>0</v>
      </c>
      <c r="G42" s="92">
        <f>IF(B42=1,$F$41,$F$38*(1+Dynamic!$E$30)^(SUMIFS($E$41:$E$60,$B$41:$B$60,B42,$C$41:$C$60,1)-2021)+IF(SUMIFS($E$41:$E$60,$B$41:$B$60,B42,$C$41:$C$60,1)&gt;2030,Dynamic!$F$24,SUMIFS(Dynamic!$F$15:$F$24,Dynamic!$C$15:$C$24,SUMIFS($E$41:$E$60,$B$41:$B$60,B42,$C$41:$C$60,1))))*IF(C42&gt;10,Parameters!$D$93/(EV_age-10),INDEX(Parameters!$D$83:$D$92,C42))</f>
        <v>38473.604935807591</v>
      </c>
      <c r="H42" s="92">
        <f>'Input-Output Module'!$D$78</f>
        <v>14927.357407518604</v>
      </c>
      <c r="I42" s="92">
        <f>('Input-Output Module'!$D$57*Calculatie!$C$57*(Calculatie!$C$74*(1+Dynamic!$D$6)^'Breakeven analyse'!D42))
+
('Input-Output Module'!$D$58*Calculatie!$C$57*(INDEX(Laadinfra8[[#All],[External energy costs (€)]],MATCH('M1-PowerSupply'!$B$49,Laadinfra8[[#All],[Charging type]],0))*(1+Dynamic!$D$6)^'Breakeven analyse'!D42))</f>
        <v>30874.860035558311</v>
      </c>
      <c r="J42" s="92">
        <f>'Input-Output Module'!$D$87+'Input-Output Module'!$D$88+'Input-Output Module'!$D$89+'Input-Output Module'!$D$90</f>
        <v>4768.3668400000006</v>
      </c>
      <c r="K42" s="92">
        <f>'Input-Output Module'!$D$91</f>
        <v>0</v>
      </c>
      <c r="L42" s="92">
        <f>'Input-Output Module'!$D$92</f>
        <v>0</v>
      </c>
      <c r="M42" s="92">
        <f>'Input-Output Module'!$D$93</f>
        <v>0</v>
      </c>
      <c r="N42" s="92">
        <f>'Input-Output Module'!$D$94</f>
        <v>399.10124999999999</v>
      </c>
      <c r="O42" s="92">
        <v>0</v>
      </c>
      <c r="P42" s="92">
        <f>'Input-Output Module'!$D$99*(1+Dynamic!$D$4)^'Breakeven analyse'!D42</f>
        <v>4012.4380000000001</v>
      </c>
      <c r="Q42" s="92">
        <f t="shared" ref="Q42:Q60" si="5">SUM(G42:P42)</f>
        <v>93455.72846888451</v>
      </c>
      <c r="R42" s="92">
        <f t="shared" ref="R42:R60" si="6">SUM(H42:N42,P42)</f>
        <v>54982.12353307692</v>
      </c>
      <c r="S42" t="b">
        <f t="shared" ref="S42:S60" si="7">Q42&lt;Q16</f>
        <v>0</v>
      </c>
      <c r="T42" s="99">
        <f>I42/I41</f>
        <v>1.01</v>
      </c>
      <c r="U42" s="247" t="s">
        <v>568</v>
      </c>
    </row>
    <row r="43" spans="1:21" x14ac:dyDescent="0.15">
      <c r="A43" t="s">
        <v>566</v>
      </c>
      <c r="B43">
        <f t="shared" si="4"/>
        <v>1</v>
      </c>
      <c r="C43">
        <f>COUNTIF($B$41:B43,B43)</f>
        <v>3</v>
      </c>
      <c r="D43">
        <v>2</v>
      </c>
      <c r="E43" s="89">
        <f t="shared" ref="E43:E60" si="8">E42+1</f>
        <v>2032</v>
      </c>
      <c r="F43" s="92">
        <f>IF(C43=1,$F$38*(1+Dynamic!$E$30)^('Breakeven analyse'!D43)-$F$38*(1+Dynamic!$E$30)^('Breakeven analyse'!D43-EV_age)*(IF(EV_age&gt;10,10%,VLOOKUP(EV_age,Parameters!$A$83:$D$92,2)))+IF('Breakeven analyse'!E43&gt;2030,Dynamic!$F$24,SUMIFS(Dynamic!$F$15:$F$24,Dynamic!$C$15:$C$24,'Breakeven analyse'!E43))-IF('Breakeven analyse'!E43-EV_age&gt;2030,Dynamic!$F$24,SUMIFS(Dynamic!$F$15:$F$24,Dynamic!$C$15:$C$24,'Breakeven analyse'!E43-EV_age))*(IF(EV_age&gt;10,10%,VLOOKUP(EV_age,Parameters!$A$83:$D$92,2))),0)</f>
        <v>0</v>
      </c>
      <c r="G43" s="92">
        <f>IF(B43=1,$F$41,$F$38*(1+Dynamic!$E$30)^(SUMIFS($E$41:$E$60,$B$41:$B$60,B43,$C$41:$C$60,1)-2021)+IF(SUMIFS($E$41:$E$60,$B$41:$B$60,B43,$C$41:$C$60,1)&gt;2030,Dynamic!$F$24,SUMIFS(Dynamic!$F$15:$F$24,Dynamic!$C$15:$C$24,SUMIFS($E$41:$E$60,$B$41:$B$60,B43,$C$41:$C$60,1))))*IF(C43&gt;10,Parameters!$D$93/(EV_age-10),INDEX(Parameters!$D$83:$D$92,C43))</f>
        <v>31194.529531524295</v>
      </c>
      <c r="H43" s="92">
        <f>'Input-Output Module'!$D$78</f>
        <v>14927.357407518604</v>
      </c>
      <c r="I43" s="92">
        <f>('Input-Output Module'!$D$57*Calculatie!$C$57*(Calculatie!$C$74*(1+Dynamic!$D$6)^'Breakeven analyse'!D43))
+
('Input-Output Module'!$D$58*Calculatie!$C$57*(INDEX(Laadinfra8[[#All],[External energy costs (€)]],MATCH('M1-PowerSupply'!$B$49,Laadinfra8[[#All],[Charging type]],0))*(1+Dynamic!$D$6)^'Breakeven analyse'!D43))</f>
        <v>31183.608635913897</v>
      </c>
      <c r="J43" s="92">
        <f>'Input-Output Module'!$D$87+'Input-Output Module'!$D$88+'Input-Output Module'!$D$89+'Input-Output Module'!$D$90</f>
        <v>4768.3668400000006</v>
      </c>
      <c r="K43" s="92">
        <f>'Input-Output Module'!$D$91</f>
        <v>0</v>
      </c>
      <c r="L43" s="92">
        <f>'Input-Output Module'!$D$92</f>
        <v>0</v>
      </c>
      <c r="M43" s="92">
        <f>'Input-Output Module'!$D$93</f>
        <v>0</v>
      </c>
      <c r="N43" s="92">
        <f>'Input-Output Module'!$D$94</f>
        <v>399.10124999999999</v>
      </c>
      <c r="O43" s="92">
        <v>0</v>
      </c>
      <c r="P43" s="92">
        <f>'Input-Output Module'!$D$99*(1+Dynamic!$D$4)^'Breakeven analyse'!D43</f>
        <v>4076.6370080000002</v>
      </c>
      <c r="Q43" s="92">
        <f t="shared" si="5"/>
        <v>86549.600672956818</v>
      </c>
      <c r="R43" s="92">
        <f t="shared" si="6"/>
        <v>55355.071141432505</v>
      </c>
      <c r="S43" t="b">
        <f t="shared" si="7"/>
        <v>0</v>
      </c>
      <c r="T43" s="255"/>
      <c r="U43" t="s">
        <v>569</v>
      </c>
    </row>
    <row r="44" spans="1:21" x14ac:dyDescent="0.15">
      <c r="A44" t="s">
        <v>566</v>
      </c>
      <c r="B44">
        <f t="shared" si="4"/>
        <v>1</v>
      </c>
      <c r="C44">
        <f>COUNTIF($B$41:B44,B44)</f>
        <v>4</v>
      </c>
      <c r="D44">
        <v>3</v>
      </c>
      <c r="E44" s="89">
        <f t="shared" si="8"/>
        <v>2033</v>
      </c>
      <c r="F44" s="92">
        <f>IF(C44=1,$F$38*(1+Dynamic!$E$30)^('Breakeven analyse'!D44)-$F$38*(1+Dynamic!$E$30)^('Breakeven analyse'!D44-EV_age)*(IF(EV_age&gt;10,10%,VLOOKUP(EV_age,Parameters!$A$83:$D$92,2)))+IF('Breakeven analyse'!E44&gt;2030,Dynamic!$F$24,SUMIFS(Dynamic!$F$15:$F$24,Dynamic!$C$15:$C$24,'Breakeven analyse'!E44))-IF('Breakeven analyse'!E44-EV_age&gt;2030,Dynamic!$F$24,SUMIFS(Dynamic!$F$15:$F$24,Dynamic!$C$15:$C$24,'Breakeven analyse'!E44-EV_age))*(IF(EV_age&gt;10,10%,VLOOKUP(EV_age,Parameters!$A$83:$D$92,2))),0)</f>
        <v>0</v>
      </c>
      <c r="G44" s="92">
        <f>IF(B44=1,$F$41,$F$38*(1+Dynamic!$E$30)^(SUMIFS($E$41:$E$60,$B$41:$B$60,B44,$C$41:$C$60,1)-2021)+IF(SUMIFS($E$41:$E$60,$B$41:$B$60,B44,$C$41:$C$60,1)&gt;2030,Dynamic!$F$24,SUMIFS(Dynamic!$F$15:$F$24,Dynamic!$C$15:$C$24,SUMIFS($E$41:$E$60,$B$41:$B$60,B44,$C$41:$C$60,1))))*IF(C44&gt;10,Parameters!$D$93/(EV_age-10),INDEX(Parameters!$D$83:$D$92,C44))</f>
        <v>25292.630475276092</v>
      </c>
      <c r="H44" s="92">
        <f>'Input-Output Module'!$D$78</f>
        <v>14927.357407518604</v>
      </c>
      <c r="I44" s="92">
        <f>('Input-Output Module'!$D$57*Calculatie!$C$57*(Calculatie!$C$74*(1+Dynamic!$D$6)^'Breakeven analyse'!D44))
+
('Input-Output Module'!$D$58*Calculatie!$C$57*(INDEX(Laadinfra8[[#All],[External energy costs (€)]],MATCH('M1-PowerSupply'!$B$49,Laadinfra8[[#All],[Charging type]],0))*(1+Dynamic!$D$6)^'Breakeven analyse'!D44))</f>
        <v>31495.44472227303</v>
      </c>
      <c r="J44" s="92">
        <f>'Input-Output Module'!$D$87+'Input-Output Module'!$D$88+'Input-Output Module'!$D$89+'Input-Output Module'!$D$90</f>
        <v>4768.3668400000006</v>
      </c>
      <c r="K44" s="92">
        <f>'Input-Output Module'!$D$91</f>
        <v>0</v>
      </c>
      <c r="L44" s="92">
        <f>'Input-Output Module'!$D$92</f>
        <v>0</v>
      </c>
      <c r="M44" s="92">
        <f>'Input-Output Module'!$D$93</f>
        <v>0</v>
      </c>
      <c r="N44" s="92">
        <f>'Input-Output Module'!$D$94</f>
        <v>399.10124999999999</v>
      </c>
      <c r="O44" s="92">
        <v>0</v>
      </c>
      <c r="P44" s="92">
        <f>'Input-Output Module'!$D$99*(1+Dynamic!$D$4)^'Breakeven analyse'!D44</f>
        <v>4141.8632001280002</v>
      </c>
      <c r="Q44" s="92">
        <f t="shared" si="5"/>
        <v>81024.763895195749</v>
      </c>
      <c r="R44" s="92">
        <f t="shared" si="6"/>
        <v>55732.133419919635</v>
      </c>
      <c r="S44" t="b">
        <f t="shared" si="7"/>
        <v>0</v>
      </c>
      <c r="T44" s="255"/>
      <c r="U44" t="s">
        <v>570</v>
      </c>
    </row>
    <row r="45" spans="1:21" x14ac:dyDescent="0.15">
      <c r="A45" t="s">
        <v>566</v>
      </c>
      <c r="B45">
        <f t="shared" si="4"/>
        <v>1</v>
      </c>
      <c r="C45">
        <f>COUNTIF($B$41:B45,B45)</f>
        <v>5</v>
      </c>
      <c r="D45">
        <v>4</v>
      </c>
      <c r="E45" s="89">
        <f t="shared" si="8"/>
        <v>2034</v>
      </c>
      <c r="F45" s="92">
        <f>IF(C45=1,$F$38*(1+Dynamic!$E$30)^('Breakeven analyse'!D45)-$F$38*(1+Dynamic!$E$30)^('Breakeven analyse'!D45-EV_age)*(IF(EV_age&gt;10,10%,VLOOKUP(EV_age,Parameters!$A$83:$D$92,2)))+IF('Breakeven analyse'!E45&gt;2030,Dynamic!$F$24,SUMIFS(Dynamic!$F$15:$F$24,Dynamic!$C$15:$C$24,'Breakeven analyse'!E45))-IF('Breakeven analyse'!E45-EV_age&gt;2030,Dynamic!$F$24,SUMIFS(Dynamic!$F$15:$F$24,Dynamic!$C$15:$C$24,'Breakeven analyse'!E45-EV_age))*(IF(EV_age&gt;10,10%,VLOOKUP(EV_age,Parameters!$A$83:$D$92,2))),0)</f>
        <v>0</v>
      </c>
      <c r="G45" s="92">
        <f>IF(B45=1,$F$41,$F$38*(1+Dynamic!$E$30)^(SUMIFS($E$41:$E$60,$B$41:$B$60,B45,$C$41:$C$60,1)-2021)+IF(SUMIFS($E$41:$E$60,$B$41:$B$60,B45,$C$41:$C$60,1)&gt;2030,Dynamic!$F$24,SUMIFS(Dynamic!$F$15:$F$24,Dynamic!$C$15:$C$24,SUMIFS($E$41:$E$60,$B$41:$B$60,B45,$C$41:$C$60,1))))*IF(C45&gt;10,Parameters!$D$93/(EV_age-10),INDEX(Parameters!$D$83:$D$92,C45))</f>
        <v>20507.350678662606</v>
      </c>
      <c r="H45" s="92">
        <f>'Input-Output Module'!$D$78</f>
        <v>14927.357407518604</v>
      </c>
      <c r="I45" s="92">
        <f>('Input-Output Module'!$D$57*Calculatie!$C$57*(Calculatie!$C$74*(1+Dynamic!$D$6)^'Breakeven analyse'!D45))
+
('Input-Output Module'!$D$58*Calculatie!$C$57*(INDEX(Laadinfra8[[#All],[External energy costs (€)]],MATCH('M1-PowerSupply'!$B$49,Laadinfra8[[#All],[Charging type]],0))*(1+Dynamic!$D$6)^'Breakeven analyse'!D45))</f>
        <v>31810.399169495766</v>
      </c>
      <c r="J45" s="92">
        <f>'Input-Output Module'!$D$87+'Input-Output Module'!$D$88+'Input-Output Module'!$D$89+'Input-Output Module'!$D$90</f>
        <v>4768.3668400000006</v>
      </c>
      <c r="K45" s="92">
        <f>'Input-Output Module'!$D$91</f>
        <v>0</v>
      </c>
      <c r="L45" s="92">
        <f>'Input-Output Module'!$D$92</f>
        <v>0</v>
      </c>
      <c r="M45" s="92">
        <f>'Input-Output Module'!$D$93</f>
        <v>0</v>
      </c>
      <c r="N45" s="92">
        <f>'Input-Output Module'!$D$94</f>
        <v>399.10124999999999</v>
      </c>
      <c r="O45" s="92">
        <v>0</v>
      </c>
      <c r="P45" s="92">
        <f>'Input-Output Module'!$D$99*(1+Dynamic!$D$4)^'Breakeven analyse'!D45</f>
        <v>4208.1330113300482</v>
      </c>
      <c r="Q45" s="92">
        <f t="shared" si="5"/>
        <v>76620.708357007039</v>
      </c>
      <c r="R45" s="92">
        <f t="shared" si="6"/>
        <v>56113.357678344422</v>
      </c>
      <c r="S45" t="b">
        <f t="shared" si="7"/>
        <v>0</v>
      </c>
      <c r="T45" s="99">
        <f>I45/I44</f>
        <v>1.0100000000000002</v>
      </c>
      <c r="U45" t="s">
        <v>571</v>
      </c>
    </row>
    <row r="46" spans="1:21" x14ac:dyDescent="0.15">
      <c r="A46" t="s">
        <v>566</v>
      </c>
      <c r="B46">
        <f t="shared" si="4"/>
        <v>1</v>
      </c>
      <c r="C46">
        <f>COUNTIF($B$41:B46,B46)</f>
        <v>6</v>
      </c>
      <c r="D46">
        <v>5</v>
      </c>
      <c r="E46" s="89">
        <f t="shared" si="8"/>
        <v>2035</v>
      </c>
      <c r="F46" s="92">
        <f>IF(C46=1,$F$38*(1+Dynamic!$E$30)^('Breakeven analyse'!D46)-$F$38*(1+Dynamic!$E$30)^('Breakeven analyse'!D46-EV_age)*(IF(EV_age&gt;10,10%,VLOOKUP(EV_age,Parameters!$A$83:$D$92,2)))+IF('Breakeven analyse'!E46&gt;2030,Dynamic!$F$24,SUMIFS(Dynamic!$F$15:$F$24,Dynamic!$C$15:$C$24,'Breakeven analyse'!E46))-IF('Breakeven analyse'!E46-EV_age&gt;2030,Dynamic!$F$24,SUMIFS(Dynamic!$F$15:$F$24,Dynamic!$C$15:$C$24,'Breakeven analyse'!E46-EV_age))*(IF(EV_age&gt;10,10%,VLOOKUP(EV_age,Parameters!$A$83:$D$92,2))),0)</f>
        <v>0</v>
      </c>
      <c r="G46" s="92">
        <f>IF(B46=1,$F$41,$F$38*(1+Dynamic!$E$30)^(SUMIFS($E$41:$E$60,$B$41:$B$60,B46,$C$41:$C$60,1)-2021)+IF(SUMIFS($E$41:$E$60,$B$41:$B$60,B46,$C$41:$C$60,1)&gt;2030,Dynamic!$F$24,SUMIFS(Dynamic!$F$15:$F$24,Dynamic!$C$15:$C$24,SUMIFS($E$41:$E$60,$B$41:$B$60,B46,$C$41:$C$60,1))))*IF(C46&gt;10,Parameters!$D$93/(EV_age-10),INDEX(Parameters!$D$83:$D$92,C46))</f>
        <v>16627.429569602824</v>
      </c>
      <c r="H46" s="92">
        <f>'Input-Output Module'!$D$78</f>
        <v>14927.357407518604</v>
      </c>
      <c r="I46" s="92">
        <f>('Input-Output Module'!$D$57*Calculatie!$C$57*(Calculatie!$C$74*(1+Dynamic!$D$6)^'Breakeven analyse'!D46))
+
('Input-Output Module'!$D$58*Calculatie!$C$57*(INDEX(Laadinfra8[[#All],[External energy costs (€)]],MATCH('M1-PowerSupply'!$B$49,Laadinfra8[[#All],[Charging type]],0))*(1+Dynamic!$D$6)^'Breakeven analyse'!D46))</f>
        <v>32128.503161190722</v>
      </c>
      <c r="J46" s="92">
        <f>'Input-Output Module'!$D$87+'Input-Output Module'!$D$88+'Input-Output Module'!$D$89+'Input-Output Module'!$D$90</f>
        <v>4768.3668400000006</v>
      </c>
      <c r="K46" s="92">
        <f>'Input-Output Module'!$D$91</f>
        <v>0</v>
      </c>
      <c r="L46" s="92">
        <f>'Input-Output Module'!$D$92</f>
        <v>0</v>
      </c>
      <c r="M46" s="92">
        <f>'Input-Output Module'!$D$93</f>
        <v>0</v>
      </c>
      <c r="N46" s="92">
        <f>'Input-Output Module'!$D$94</f>
        <v>399.10124999999999</v>
      </c>
      <c r="O46" s="92">
        <v>0</v>
      </c>
      <c r="P46" s="92">
        <f>'Input-Output Module'!$D$99*(1+Dynamic!$D$4)^'Breakeven analyse'!D46</f>
        <v>4275.4631395113292</v>
      </c>
      <c r="Q46" s="92">
        <f t="shared" si="5"/>
        <v>73126.221367823484</v>
      </c>
      <c r="R46" s="92">
        <f t="shared" si="6"/>
        <v>56498.791798220656</v>
      </c>
      <c r="S46" t="b">
        <f t="shared" si="7"/>
        <v>0</v>
      </c>
    </row>
    <row r="47" spans="1:21" x14ac:dyDescent="0.15">
      <c r="A47" t="s">
        <v>566</v>
      </c>
      <c r="B47">
        <f t="shared" si="4"/>
        <v>1</v>
      </c>
      <c r="C47">
        <f>COUNTIF($B$41:B47,B47)</f>
        <v>7</v>
      </c>
      <c r="D47">
        <v>6</v>
      </c>
      <c r="E47" s="89">
        <f t="shared" si="8"/>
        <v>2036</v>
      </c>
      <c r="F47" s="92">
        <f>IF(C47=1,$F$38*(1+Dynamic!$E$30)^('Breakeven analyse'!D47)-$F$38*(1+Dynamic!$E$30)^('Breakeven analyse'!D47-EV_age)*(IF(EV_age&gt;10,10%,VLOOKUP(EV_age,Parameters!$A$83:$D$92,2)))+IF('Breakeven analyse'!E47&gt;2030,Dynamic!$F$24,SUMIFS(Dynamic!$F$15:$F$24,Dynamic!$C$15:$C$24,'Breakeven analyse'!E47))-IF('Breakeven analyse'!E47-EV_age&gt;2030,Dynamic!$F$24,SUMIFS(Dynamic!$F$15:$F$24,Dynamic!$C$15:$C$24,'Breakeven analyse'!E47-EV_age))*(IF(EV_age&gt;10,10%,VLOOKUP(EV_age,Parameters!$A$83:$D$92,2))),0)</f>
        <v>0</v>
      </c>
      <c r="G47" s="92">
        <f>IF(B47=1,$F$41,$F$38*(1+Dynamic!$E$30)^(SUMIFS($E$41:$E$60,$B$41:$B$60,B47,$C$41:$C$60,1)-2021)+IF(SUMIFS($E$41:$E$60,$B$41:$B$60,B47,$C$41:$C$60,1)&gt;2030,Dynamic!$F$24,SUMIFS(Dynamic!$F$15:$F$24,Dynamic!$C$15:$C$24,SUMIFS($E$41:$E$60,$B$41:$B$60,B47,$C$41:$C$60,1))))*IF(C47&gt;10,Parameters!$D$93/(EV_age-10),INDEX(Parameters!$D$83:$D$92,C47))</f>
        <v>13481.57635884993</v>
      </c>
      <c r="H47" s="92">
        <f>'Input-Output Module'!$D$78</f>
        <v>14927.357407518604</v>
      </c>
      <c r="I47" s="92">
        <f>('Input-Output Module'!$D$57*Calculatie!$C$57*(Calculatie!$C$74*(1+Dynamic!$D$6)^'Breakeven analyse'!D47))
+
('Input-Output Module'!$D$58*Calculatie!$C$57*(INDEX(Laadinfra8[[#All],[External energy costs (€)]],MATCH('M1-PowerSupply'!$B$49,Laadinfra8[[#All],[Charging type]],0))*(1+Dynamic!$D$6)^'Breakeven analyse'!D47))</f>
        <v>32449.788192802633</v>
      </c>
      <c r="J47" s="92">
        <f>'Input-Output Module'!$D$87+'Input-Output Module'!$D$88+'Input-Output Module'!$D$89+'Input-Output Module'!$D$90</f>
        <v>4768.3668400000006</v>
      </c>
      <c r="K47" s="92">
        <f>'Input-Output Module'!$D$91</f>
        <v>0</v>
      </c>
      <c r="L47" s="92">
        <f>'Input-Output Module'!$D$92</f>
        <v>0</v>
      </c>
      <c r="M47" s="92">
        <f>'Input-Output Module'!$D$93</f>
        <v>0</v>
      </c>
      <c r="N47" s="92">
        <f>'Input-Output Module'!$D$94</f>
        <v>399.10124999999999</v>
      </c>
      <c r="O47" s="92">
        <v>0</v>
      </c>
      <c r="P47" s="92">
        <f>'Input-Output Module'!$D$99*(1+Dynamic!$D$4)^'Breakeven analyse'!D47</f>
        <v>4343.8705497435103</v>
      </c>
      <c r="Q47" s="92">
        <f t="shared" si="5"/>
        <v>70370.060598914686</v>
      </c>
      <c r="R47" s="92">
        <f t="shared" si="6"/>
        <v>56888.484240064747</v>
      </c>
      <c r="S47" t="b">
        <f t="shared" si="7"/>
        <v>0</v>
      </c>
      <c r="U47" t="s">
        <v>572</v>
      </c>
    </row>
    <row r="48" spans="1:21" x14ac:dyDescent="0.15">
      <c r="A48" t="s">
        <v>566</v>
      </c>
      <c r="B48">
        <f t="shared" si="4"/>
        <v>2</v>
      </c>
      <c r="C48">
        <f>COUNTIF($B$41:B48,B48)</f>
        <v>1</v>
      </c>
      <c r="D48">
        <v>7</v>
      </c>
      <c r="E48" s="89">
        <f t="shared" si="8"/>
        <v>2037</v>
      </c>
      <c r="F48" s="92">
        <f>IF(C48=1,$F$38*(1+Dynamic!$E$30)^('Breakeven analyse'!D48)-$F$38*(1+Dynamic!$E$30)^('Breakeven analyse'!D48-EV_age)*(IF(EV_age&gt;10,10%,VLOOKUP(EV_age,Parameters!$A$83:$D$92,2)))+IF('Breakeven analyse'!E48&gt;2030,Dynamic!$F$24,SUMIFS(Dynamic!$F$15:$F$24,Dynamic!$C$15:$C$24,'Breakeven analyse'!E48))-IF('Breakeven analyse'!E48-EV_age&gt;2030,Dynamic!$F$24,SUMIFS(Dynamic!$F$15:$F$24,Dynamic!$C$15:$C$24,'Breakeven analyse'!E48-EV_age))*(IF(EV_age&gt;10,10%,VLOOKUP(EV_age,Parameters!$A$83:$D$92,2))),0)</f>
        <v>176261.40916971743</v>
      </c>
      <c r="G48" s="92">
        <f>IF(B48=1,$F$41,$F$38*(1+Dynamic!$E$30)^(SUMIFS($E$41:$E$60,$B$41:$B$60,B48,$C$41:$C$60,1)-2021)+IF(SUMIFS($E$41:$E$60,$B$41:$B$60,B48,$C$41:$C$60,1)&gt;2030,Dynamic!$F$24,SUMIFS(Dynamic!$F$15:$F$24,Dynamic!$C$15:$C$24,SUMIFS($E$41:$E$60,$B$41:$B$60,B48,$C$41:$C$60,1))))*IF(C48&gt;10,Parameters!$D$93/(EV_age-10),INDEX(Parameters!$D$83:$D$92,C48))</f>
        <v>46413.963548852218</v>
      </c>
      <c r="H48" s="92">
        <f>'Input-Output Module'!$D$78</f>
        <v>14927.357407518604</v>
      </c>
      <c r="I48" s="92">
        <f>('Input-Output Module'!$D$57*Calculatie!$C$57*(Calculatie!$C$74*(1+Dynamic!$D$6)^'Breakeven analyse'!D48))
+
('Input-Output Module'!$D$58*Calculatie!$C$57*(INDEX(Laadinfra8[[#All],[External energy costs (€)]],MATCH('M1-PowerSupply'!$B$49,Laadinfra8[[#All],[Charging type]],0))*(1+Dynamic!$D$6)^'Breakeven analyse'!D48))</f>
        <v>32774.286074730655</v>
      </c>
      <c r="J48" s="92">
        <f>'Input-Output Module'!$D$87+'Input-Output Module'!$D$88+'Input-Output Module'!$D$89+'Input-Output Module'!$D$90</f>
        <v>4768.3668400000006</v>
      </c>
      <c r="K48" s="92">
        <f>'Input-Output Module'!$D$91</f>
        <v>0</v>
      </c>
      <c r="L48" s="92">
        <f>'Input-Output Module'!$D$92</f>
        <v>0</v>
      </c>
      <c r="M48" s="92">
        <f>'Input-Output Module'!$D$93</f>
        <v>0</v>
      </c>
      <c r="N48" s="92">
        <f>'Input-Output Module'!$D$94</f>
        <v>399.10124999999999</v>
      </c>
      <c r="O48" s="92">
        <v>0</v>
      </c>
      <c r="P48" s="92">
        <f>'Input-Output Module'!$D$99*(1+Dynamic!$D$4)^'Breakeven analyse'!D48</f>
        <v>4413.372478539407</v>
      </c>
      <c r="Q48" s="92">
        <f t="shared" si="5"/>
        <v>103696.44759964089</v>
      </c>
      <c r="R48" s="92">
        <f t="shared" si="6"/>
        <v>57282.484050788669</v>
      </c>
      <c r="S48" t="b">
        <f t="shared" si="7"/>
        <v>0</v>
      </c>
      <c r="U48" t="s">
        <v>573</v>
      </c>
    </row>
    <row r="49" spans="1:21" x14ac:dyDescent="0.15">
      <c r="A49" t="s">
        <v>566</v>
      </c>
      <c r="B49">
        <f t="shared" si="4"/>
        <v>2</v>
      </c>
      <c r="C49">
        <f>COUNTIF($B$41:B49,B49)</f>
        <v>2</v>
      </c>
      <c r="D49">
        <v>8</v>
      </c>
      <c r="E49" s="89">
        <f t="shared" si="8"/>
        <v>2038</v>
      </c>
      <c r="F49" s="92">
        <f>IF(C49=1,$F$38*(1+Dynamic!$E$30)^('Breakeven analyse'!D49)-$F$38*(1+Dynamic!$E$30)^('Breakeven analyse'!D49-EV_age)*(IF(EV_age&gt;10,10%,VLOOKUP(EV_age,Parameters!$A$83:$D$92,2)))+IF('Breakeven analyse'!E49&gt;2030,Dynamic!$F$24,SUMIFS(Dynamic!$F$15:$F$24,Dynamic!$C$15:$C$24,'Breakeven analyse'!E49))-IF('Breakeven analyse'!E49-EV_age&gt;2030,Dynamic!$F$24,SUMIFS(Dynamic!$F$15:$F$24,Dynamic!$C$15:$C$24,'Breakeven analyse'!E49-EV_age))*(IF(EV_age&gt;10,10%,VLOOKUP(EV_age,Parameters!$A$83:$D$92,2))),0)</f>
        <v>0</v>
      </c>
      <c r="G49" s="92">
        <f>IF(B49=1,$F$41,$F$38*(1+Dynamic!$E$30)^(SUMIFS($E$41:$E$60,$B$41:$B$60,B49,$C$41:$C$60,1)-2021)+IF(SUMIFS($E$41:$E$60,$B$41:$B$60,B49,$C$41:$C$60,1)&gt;2030,Dynamic!$F$24,SUMIFS(Dynamic!$F$15:$F$24,Dynamic!$C$15:$C$24,SUMIFS($E$41:$E$60,$B$41:$B$60,B49,$C$41:$C$60,1))))*IF(C49&gt;10,Parameters!$D$93/(EV_age-10),INDEX(Parameters!$D$83:$D$92,C49))</f>
        <v>38281.001123010312</v>
      </c>
      <c r="H49" s="92">
        <f>'Input-Output Module'!$D$78</f>
        <v>14927.357407518604</v>
      </c>
      <c r="I49" s="92">
        <f>('Input-Output Module'!$D$57*Calculatie!$C$57*(Calculatie!$C$74*(1+Dynamic!$D$6)^'Breakeven analyse'!D49))
+
('Input-Output Module'!$D$58*Calculatie!$C$57*(INDEX(Laadinfra8[[#All],[External energy costs (€)]],MATCH('M1-PowerSupply'!$B$49,Laadinfra8[[#All],[Charging type]],0))*(1+Dynamic!$D$6)^'Breakeven analyse'!D49))</f>
        <v>33102.028935477967</v>
      </c>
      <c r="J49" s="92">
        <f>'Input-Output Module'!$D$87+'Input-Output Module'!$D$88+'Input-Output Module'!$D$89+'Input-Output Module'!$D$90</f>
        <v>4768.3668400000006</v>
      </c>
      <c r="K49" s="92">
        <f>'Input-Output Module'!$D$91</f>
        <v>0</v>
      </c>
      <c r="L49" s="92">
        <f>'Input-Output Module'!$D$92</f>
        <v>0</v>
      </c>
      <c r="M49" s="92">
        <f>'Input-Output Module'!$D$93</f>
        <v>0</v>
      </c>
      <c r="N49" s="92">
        <f>'Input-Output Module'!$D$94</f>
        <v>399.10124999999999</v>
      </c>
      <c r="O49" s="92">
        <v>0</v>
      </c>
      <c r="P49" s="92">
        <f>'Input-Output Module'!$D$99*(1+Dynamic!$D$4)^'Breakeven analyse'!D49</f>
        <v>4483.9864381960369</v>
      </c>
      <c r="Q49" s="92">
        <f t="shared" si="5"/>
        <v>95961.841994202929</v>
      </c>
      <c r="R49" s="92">
        <f t="shared" si="6"/>
        <v>57680.840871192609</v>
      </c>
      <c r="S49" t="b">
        <f t="shared" si="7"/>
        <v>0</v>
      </c>
    </row>
    <row r="50" spans="1:21" x14ac:dyDescent="0.15">
      <c r="A50" t="s">
        <v>566</v>
      </c>
      <c r="B50">
        <f t="shared" si="4"/>
        <v>2</v>
      </c>
      <c r="C50">
        <f>COUNTIF($B$41:B50,B50)</f>
        <v>3</v>
      </c>
      <c r="D50">
        <v>9</v>
      </c>
      <c r="E50" s="89">
        <f t="shared" si="8"/>
        <v>2039</v>
      </c>
      <c r="F50" s="92">
        <f>IF(C50=1,$F$38*(1+Dynamic!$E$30)^('Breakeven analyse'!D50)-$F$38*(1+Dynamic!$E$30)^('Breakeven analyse'!D50-EV_age)*(IF(EV_age&gt;10,10%,VLOOKUP(EV_age,Parameters!$A$83:$D$92,2)))+IF('Breakeven analyse'!E50&gt;2030,Dynamic!$F$24,SUMIFS(Dynamic!$F$15:$F$24,Dynamic!$C$15:$C$24,'Breakeven analyse'!E50))-IF('Breakeven analyse'!E50-EV_age&gt;2030,Dynamic!$F$24,SUMIFS(Dynamic!$F$15:$F$24,Dynamic!$C$15:$C$24,'Breakeven analyse'!E50-EV_age))*(IF(EV_age&gt;10,10%,VLOOKUP(EV_age,Parameters!$A$83:$D$92,2))),0)</f>
        <v>0</v>
      </c>
      <c r="G50" s="92">
        <f>IF(B50=1,$F$41,$F$38*(1+Dynamic!$E$30)^(SUMIFS($E$41:$E$60,$B$41:$B$60,B50,$C$41:$C$60,1)-2021)+IF(SUMIFS($E$41:$E$60,$B$41:$B$60,B50,$C$41:$C$60,1)&gt;2030,Dynamic!$F$24,SUMIFS(Dynamic!$F$15:$F$24,Dynamic!$C$15:$C$24,SUMIFS($E$41:$E$60,$B$41:$B$60,B50,$C$41:$C$60,1))))*IF(C50&gt;10,Parameters!$D$93/(EV_age-10),INDEX(Parameters!$D$83:$D$92,C50))</f>
        <v>31038.365706059707</v>
      </c>
      <c r="H50" s="92">
        <f>'Input-Output Module'!$D$78</f>
        <v>14927.357407518604</v>
      </c>
      <c r="I50" s="92">
        <f>('Input-Output Module'!$D$57*Calculatie!$C$57*(Calculatie!$C$74*(1+Dynamic!$D$6)^'Breakeven analyse'!D50))
+
('Input-Output Module'!$D$58*Calculatie!$C$57*(INDEX(Laadinfra8[[#All],[External energy costs (€)]],MATCH('M1-PowerSupply'!$B$49,Laadinfra8[[#All],[Charging type]],0))*(1+Dynamic!$D$6)^'Breakeven analyse'!D50))</f>
        <v>33433.04922483275</v>
      </c>
      <c r="J50" s="92">
        <f>'Input-Output Module'!$D$87+'Input-Output Module'!$D$88+'Input-Output Module'!$D$89+'Input-Output Module'!$D$90</f>
        <v>4768.3668400000006</v>
      </c>
      <c r="K50" s="92">
        <f>'Input-Output Module'!$D$91</f>
        <v>0</v>
      </c>
      <c r="L50" s="92">
        <f>'Input-Output Module'!$D$92</f>
        <v>0</v>
      </c>
      <c r="M50" s="92">
        <f>'Input-Output Module'!$D$93</f>
        <v>0</v>
      </c>
      <c r="N50" s="92">
        <f>'Input-Output Module'!$D$94</f>
        <v>399.10124999999999</v>
      </c>
      <c r="O50" s="92">
        <v>0</v>
      </c>
      <c r="P50" s="92">
        <f>'Input-Output Module'!$D$99*(1+Dynamic!$D$4)^'Breakeven analyse'!D50</f>
        <v>4555.7302212071736</v>
      </c>
      <c r="Q50" s="92">
        <f t="shared" si="5"/>
        <v>89121.970649618248</v>
      </c>
      <c r="R50" s="92">
        <f t="shared" si="6"/>
        <v>58083.60494355853</v>
      </c>
      <c r="S50" t="b">
        <f t="shared" si="7"/>
        <v>0</v>
      </c>
      <c r="U50" s="91" t="s">
        <v>574</v>
      </c>
    </row>
    <row r="51" spans="1:21" x14ac:dyDescent="0.15">
      <c r="A51" t="s">
        <v>566</v>
      </c>
      <c r="B51">
        <f t="shared" si="4"/>
        <v>2</v>
      </c>
      <c r="C51">
        <f>COUNTIF($B$41:B51,B51)</f>
        <v>4</v>
      </c>
      <c r="D51">
        <v>10</v>
      </c>
      <c r="E51" s="89">
        <f t="shared" si="8"/>
        <v>2040</v>
      </c>
      <c r="F51" s="92">
        <f>IF(C51=1,$F$38*(1+Dynamic!$E$30)^('Breakeven analyse'!D51)-$F$38*(1+Dynamic!$E$30)^('Breakeven analyse'!D51-EV_age)*(IF(EV_age&gt;10,10%,VLOOKUP(EV_age,Parameters!$A$83:$D$92,2)))+IF('Breakeven analyse'!E51&gt;2030,Dynamic!$F$24,SUMIFS(Dynamic!$F$15:$F$24,Dynamic!$C$15:$C$24,'Breakeven analyse'!E51))-IF('Breakeven analyse'!E51-EV_age&gt;2030,Dynamic!$F$24,SUMIFS(Dynamic!$F$15:$F$24,Dynamic!$C$15:$C$24,'Breakeven analyse'!E51-EV_age))*(IF(EV_age&gt;10,10%,VLOOKUP(EV_age,Parameters!$A$83:$D$92,2))),0)</f>
        <v>0</v>
      </c>
      <c r="G51" s="92">
        <f>IF(B51=1,$F$41,$F$38*(1+Dynamic!$E$30)^(SUMIFS($E$41:$E$60,$B$41:$B$60,B51,$C$41:$C$60,1)-2021)+IF(SUMIFS($E$41:$E$60,$B$41:$B$60,B51,$C$41:$C$60,1)&gt;2030,Dynamic!$F$24,SUMIFS(Dynamic!$F$15:$F$24,Dynamic!$C$15:$C$24,SUMIFS($E$41:$E$60,$B$41:$B$60,B51,$C$41:$C$60,1))))*IF(C51&gt;10,Parameters!$D$93/(EV_age-10),INDEX(Parameters!$D$83:$D$92,C51))</f>
        <v>25166.012315284617</v>
      </c>
      <c r="H51" s="92">
        <f>'Input-Output Module'!$D$78</f>
        <v>14927.357407518604</v>
      </c>
      <c r="I51" s="92">
        <f>('Input-Output Module'!$D$57*Calculatie!$C$57*(Calculatie!$C$74*(1+Dynamic!$D$6)^'Breakeven analyse'!D51))
+
('Input-Output Module'!$D$58*Calculatie!$C$57*(INDEX(Laadinfra8[[#All],[External energy costs (€)]],MATCH('M1-PowerSupply'!$B$49,Laadinfra8[[#All],[Charging type]],0))*(1+Dynamic!$D$6)^'Breakeven analyse'!D51))</f>
        <v>33767.379717081079</v>
      </c>
      <c r="J51" s="92">
        <f>'Input-Output Module'!$D$87+'Input-Output Module'!$D$88+'Input-Output Module'!$D$89+'Input-Output Module'!$D$90</f>
        <v>4768.3668400000006</v>
      </c>
      <c r="K51" s="92">
        <f>'Input-Output Module'!$D$91</f>
        <v>0</v>
      </c>
      <c r="L51" s="92">
        <f>'Input-Output Module'!$D$92</f>
        <v>0</v>
      </c>
      <c r="M51" s="92">
        <f>'Input-Output Module'!$D$93</f>
        <v>0</v>
      </c>
      <c r="N51" s="92">
        <f>'Input-Output Module'!$D$94</f>
        <v>399.10124999999999</v>
      </c>
      <c r="O51" s="92">
        <v>0</v>
      </c>
      <c r="P51" s="92">
        <f>'Input-Output Module'!$D$99*(1+Dynamic!$D$4)^'Breakeven analyse'!D51</f>
        <v>4628.6219047464892</v>
      </c>
      <c r="Q51" s="92">
        <f t="shared" si="5"/>
        <v>83656.83943463079</v>
      </c>
      <c r="R51" s="92">
        <f t="shared" si="6"/>
        <v>58490.827119346177</v>
      </c>
      <c r="S51" t="b">
        <f t="shared" si="7"/>
        <v>0</v>
      </c>
      <c r="U51" t="s">
        <v>575</v>
      </c>
    </row>
    <row r="52" spans="1:21" x14ac:dyDescent="0.15">
      <c r="A52" t="s">
        <v>566</v>
      </c>
      <c r="B52">
        <f t="shared" si="4"/>
        <v>2</v>
      </c>
      <c r="C52">
        <f>COUNTIF($B$41:B52,B52)</f>
        <v>5</v>
      </c>
      <c r="D52">
        <v>11</v>
      </c>
      <c r="E52" s="89">
        <f t="shared" si="8"/>
        <v>2041</v>
      </c>
      <c r="F52" s="92">
        <f>IF(C52=1,$F$38*(1+Dynamic!$E$30)^('Breakeven analyse'!D52)-$F$38*(1+Dynamic!$E$30)^('Breakeven analyse'!D52-EV_age)*(IF(EV_age&gt;10,10%,VLOOKUP(EV_age,Parameters!$A$83:$D$92,2)))+IF('Breakeven analyse'!E52&gt;2030,Dynamic!$F$24,SUMIFS(Dynamic!$F$15:$F$24,Dynamic!$C$15:$C$24,'Breakeven analyse'!E52))-IF('Breakeven analyse'!E52-EV_age&gt;2030,Dynamic!$F$24,SUMIFS(Dynamic!$F$15:$F$24,Dynamic!$C$15:$C$24,'Breakeven analyse'!E52-EV_age))*(IF(EV_age&gt;10,10%,VLOOKUP(EV_age,Parameters!$A$83:$D$92,2))),0)</f>
        <v>0</v>
      </c>
      <c r="G52" s="92">
        <f>IF(B52=1,$F$41,$F$38*(1+Dynamic!$E$30)^(SUMIFS($E$41:$E$60,$B$41:$B$60,B52,$C$41:$C$60,1)-2021)+IF(SUMIFS($E$41:$E$60,$B$41:$B$60,B52,$C$41:$C$60,1)&gt;2030,Dynamic!$F$24,SUMIFS(Dynamic!$F$15:$F$24,Dynamic!$C$15:$C$24,SUMIFS($E$41:$E$60,$B$41:$B$60,B52,$C$41:$C$60,1))))*IF(C52&gt;10,Parameters!$D$93/(EV_age-10),INDEX(Parameters!$D$83:$D$92,C52))</f>
        <v>20404.688244568595</v>
      </c>
      <c r="H52" s="92">
        <f>'Input-Output Module'!$D$78</f>
        <v>14927.357407518604</v>
      </c>
      <c r="I52" s="92">
        <f>('Input-Output Module'!$D$57*Calculatie!$C$57*(Calculatie!$C$74*(1+Dynamic!$D$6)^'Breakeven analyse'!D52))
+
('Input-Output Module'!$D$58*Calculatie!$C$57*(INDEX(Laadinfra8[[#All],[External energy costs (€)]],MATCH('M1-PowerSupply'!$B$49,Laadinfra8[[#All],[Charging type]],0))*(1+Dynamic!$D$6)^'Breakeven analyse'!D52))</f>
        <v>34105.053514251878</v>
      </c>
      <c r="J52" s="92">
        <f>'Input-Output Module'!$D$87+'Input-Output Module'!$D$88+'Input-Output Module'!$D$89+'Input-Output Module'!$D$90</f>
        <v>4768.3668400000006</v>
      </c>
      <c r="K52" s="92">
        <f>'Input-Output Module'!$D$91</f>
        <v>0</v>
      </c>
      <c r="L52" s="92">
        <f>'Input-Output Module'!$D$92</f>
        <v>0</v>
      </c>
      <c r="M52" s="92">
        <f>'Input-Output Module'!$D$93</f>
        <v>0</v>
      </c>
      <c r="N52" s="92">
        <f>'Input-Output Module'!$D$94</f>
        <v>399.10124999999999</v>
      </c>
      <c r="O52" s="92">
        <v>0</v>
      </c>
      <c r="P52" s="92">
        <f>'Input-Output Module'!$D$99*(1+Dynamic!$D$4)^'Breakeven analyse'!D52</f>
        <v>4702.6798552224327</v>
      </c>
      <c r="Q52" s="92">
        <f t="shared" si="5"/>
        <v>79307.247111561519</v>
      </c>
      <c r="R52" s="92">
        <f t="shared" si="6"/>
        <v>58902.55886699292</v>
      </c>
      <c r="S52" t="b">
        <f t="shared" si="7"/>
        <v>0</v>
      </c>
    </row>
    <row r="53" spans="1:21" x14ac:dyDescent="0.15">
      <c r="A53" t="s">
        <v>566</v>
      </c>
      <c r="B53">
        <f t="shared" si="4"/>
        <v>2</v>
      </c>
      <c r="C53">
        <f>COUNTIF($B$41:B53,B53)</f>
        <v>6</v>
      </c>
      <c r="D53">
        <v>12</v>
      </c>
      <c r="E53" s="89">
        <f t="shared" si="8"/>
        <v>2042</v>
      </c>
      <c r="F53" s="92">
        <f>IF(C53=1,$F$38*(1+Dynamic!$E$30)^('Breakeven analyse'!D53)-$F$38*(1+Dynamic!$E$30)^('Breakeven analyse'!D53-EV_age)*(IF(EV_age&gt;10,10%,VLOOKUP(EV_age,Parameters!$A$83:$D$92,2)))+IF('Breakeven analyse'!E53&gt;2030,Dynamic!$F$24,SUMIFS(Dynamic!$F$15:$F$24,Dynamic!$C$15:$C$24,'Breakeven analyse'!E53))-IF('Breakeven analyse'!E53-EV_age&gt;2030,Dynamic!$F$24,SUMIFS(Dynamic!$F$15:$F$24,Dynamic!$C$15:$C$24,'Breakeven analyse'!E53-EV_age))*(IF(EV_age&gt;10,10%,VLOOKUP(EV_age,Parameters!$A$83:$D$92,2))),0)</f>
        <v>0</v>
      </c>
      <c r="G53" s="92">
        <f>IF(B53=1,$F$41,$F$38*(1+Dynamic!$E$30)^(SUMIFS($E$41:$E$60,$B$41:$B$60,B53,$C$41:$C$60,1)-2021)+IF(SUMIFS($E$41:$E$60,$B$41:$B$60,B53,$C$41:$C$60,1)&gt;2030,Dynamic!$F$24,SUMIFS(Dynamic!$F$15:$F$24,Dynamic!$C$15:$C$24,SUMIFS($E$41:$E$60,$B$41:$B$60,B53,$C$41:$C$60,1))))*IF(C53&gt;10,Parameters!$D$93/(EV_age-10),INDEX(Parameters!$D$83:$D$92,C53))</f>
        <v>16544.190519415894</v>
      </c>
      <c r="H53" s="92">
        <f>'Input-Output Module'!$D$78</f>
        <v>14927.357407518604</v>
      </c>
      <c r="I53" s="92">
        <f>('Input-Output Module'!$D$57*Calculatie!$C$57*(Calculatie!$C$74*(1+Dynamic!$D$6)^'Breakeven analyse'!D53))
+
('Input-Output Module'!$D$58*Calculatie!$C$57*(INDEX(Laadinfra8[[#All],[External energy costs (€)]],MATCH('M1-PowerSupply'!$B$49,Laadinfra8[[#All],[Charging type]],0))*(1+Dynamic!$D$6)^'Breakeven analyse'!D53))</f>
        <v>34446.104049394402</v>
      </c>
      <c r="J53" s="92">
        <f>'Input-Output Module'!$D$87+'Input-Output Module'!$D$88+'Input-Output Module'!$D$89+'Input-Output Module'!$D$90</f>
        <v>4768.3668400000006</v>
      </c>
      <c r="K53" s="92">
        <f>'Input-Output Module'!$D$91</f>
        <v>0</v>
      </c>
      <c r="L53" s="92">
        <f>'Input-Output Module'!$D$92</f>
        <v>0</v>
      </c>
      <c r="M53" s="92">
        <f>'Input-Output Module'!$D$93</f>
        <v>0</v>
      </c>
      <c r="N53" s="92">
        <f>'Input-Output Module'!$D$94</f>
        <v>399.10124999999999</v>
      </c>
      <c r="O53" s="92">
        <v>0</v>
      </c>
      <c r="P53" s="92">
        <f>'Input-Output Module'!$D$99*(1+Dynamic!$D$4)^'Breakeven analyse'!D53</f>
        <v>4777.9227329059913</v>
      </c>
      <c r="Q53" s="92">
        <f t="shared" si="5"/>
        <v>75863.0427992349</v>
      </c>
      <c r="R53" s="92">
        <f t="shared" si="6"/>
        <v>59318.852279819002</v>
      </c>
      <c r="S53" t="b">
        <f t="shared" si="7"/>
        <v>0</v>
      </c>
      <c r="U53" t="s">
        <v>576</v>
      </c>
    </row>
    <row r="54" spans="1:21" x14ac:dyDescent="0.15">
      <c r="A54" t="s">
        <v>566</v>
      </c>
      <c r="B54">
        <f t="shared" si="4"/>
        <v>2</v>
      </c>
      <c r="C54">
        <f>COUNTIF($B$41:B54,B54)</f>
        <v>7</v>
      </c>
      <c r="D54">
        <v>13</v>
      </c>
      <c r="E54" s="89">
        <f t="shared" si="8"/>
        <v>2043</v>
      </c>
      <c r="F54" s="92">
        <f>IF(C54=1,$F$38*(1+Dynamic!$E$30)^('Breakeven analyse'!D54)-$F$38*(1+Dynamic!$E$30)^('Breakeven analyse'!D54-EV_age)*(IF(EV_age&gt;10,10%,VLOOKUP(EV_age,Parameters!$A$83:$D$92,2)))+IF('Breakeven analyse'!E54&gt;2030,Dynamic!$F$24,SUMIFS(Dynamic!$F$15:$F$24,Dynamic!$C$15:$C$24,'Breakeven analyse'!E54))-IF('Breakeven analyse'!E54-EV_age&gt;2030,Dynamic!$F$24,SUMIFS(Dynamic!$F$15:$F$24,Dynamic!$C$15:$C$24,'Breakeven analyse'!E54-EV_age))*(IF(EV_age&gt;10,10%,VLOOKUP(EV_age,Parameters!$A$83:$D$92,2))),0)</f>
        <v>0</v>
      </c>
      <c r="G54" s="92">
        <f>IF(B54=1,$F$41,$F$38*(1+Dynamic!$E$30)^(SUMIFS($E$41:$E$60,$B$41:$B$60,B54,$C$41:$C$60,1)-2021)+IF(SUMIFS($E$41:$E$60,$B$41:$B$60,B54,$C$41:$C$60,1)&gt;2030,Dynamic!$F$24,SUMIFS(Dynamic!$F$15:$F$24,Dynamic!$C$15:$C$24,SUMIFS($E$41:$E$60,$B$41:$B$60,B54,$C$41:$C$60,1))))*IF(C54&gt;10,Parameters!$D$93/(EV_age-10),INDEX(Parameters!$D$83:$D$92,C54))</f>
        <v>13414.085854293246</v>
      </c>
      <c r="H54" s="92">
        <f>'Input-Output Module'!$D$78</f>
        <v>14927.357407518604</v>
      </c>
      <c r="I54" s="92">
        <f>('Input-Output Module'!$D$57*Calculatie!$C$57*(Calculatie!$C$74*(1+Dynamic!$D$6)^'Breakeven analyse'!D54))
+
('Input-Output Module'!$D$58*Calculatie!$C$57*(INDEX(Laadinfra8[[#All],[External energy costs (€)]],MATCH('M1-PowerSupply'!$B$49,Laadinfra8[[#All],[Charging type]],0))*(1+Dynamic!$D$6)^'Breakeven analyse'!D54))</f>
        <v>34790.565089888347</v>
      </c>
      <c r="J54" s="92">
        <f>'Input-Output Module'!$D$87+'Input-Output Module'!$D$88+'Input-Output Module'!$D$89+'Input-Output Module'!$D$90</f>
        <v>4768.3668400000006</v>
      </c>
      <c r="K54" s="92">
        <f>'Input-Output Module'!$D$91</f>
        <v>0</v>
      </c>
      <c r="L54" s="92">
        <f>'Input-Output Module'!$D$92</f>
        <v>0</v>
      </c>
      <c r="M54" s="92">
        <f>'Input-Output Module'!$D$93</f>
        <v>0</v>
      </c>
      <c r="N54" s="92">
        <f>'Input-Output Module'!$D$94</f>
        <v>399.10124999999999</v>
      </c>
      <c r="O54" s="92">
        <v>0</v>
      </c>
      <c r="P54" s="92">
        <f>'Input-Output Module'!$D$99*(1+Dynamic!$D$4)^'Breakeven analyse'!D54</f>
        <v>4854.3694966324874</v>
      </c>
      <c r="Q54" s="92">
        <f t="shared" si="5"/>
        <v>73153.845938332684</v>
      </c>
      <c r="R54" s="92">
        <f t="shared" si="6"/>
        <v>59739.760084039444</v>
      </c>
      <c r="S54" t="b">
        <f t="shared" si="7"/>
        <v>0</v>
      </c>
    </row>
    <row r="55" spans="1:21" x14ac:dyDescent="0.15">
      <c r="A55" t="s">
        <v>566</v>
      </c>
      <c r="B55">
        <f t="shared" si="4"/>
        <v>3</v>
      </c>
      <c r="C55">
        <f>COUNTIF($B$41:B55,B55)</f>
        <v>1</v>
      </c>
      <c r="D55">
        <v>14</v>
      </c>
      <c r="E55" s="89">
        <f t="shared" si="8"/>
        <v>2044</v>
      </c>
      <c r="F55" s="92">
        <f>IF(C55=1,$F$38*(1+Dynamic!$E$30)^('Breakeven analyse'!D55)-$F$38*(1+Dynamic!$E$30)^('Breakeven analyse'!D55-EV_age)*(IF(EV_age&gt;10,10%,VLOOKUP(EV_age,Parameters!$A$83:$D$92,2)))+IF('Breakeven analyse'!E55&gt;2030,Dynamic!$F$24,SUMIFS(Dynamic!$F$15:$F$24,Dynamic!$C$15:$C$24,'Breakeven analyse'!E55))-IF('Breakeven analyse'!E55-EV_age&gt;2030,Dynamic!$F$24,SUMIFS(Dynamic!$F$15:$F$24,Dynamic!$C$15:$C$24,'Breakeven analyse'!E55-EV_age))*(IF(EV_age&gt;10,10%,VLOOKUP(EV_age,Parameters!$A$83:$D$92,2))),0)</f>
        <v>191180.00644251925</v>
      </c>
      <c r="G55" s="92">
        <f>IF(B55=1,$F$41,$F$38*(1+Dynamic!$E$30)^(SUMIFS($E$41:$E$60,$B$41:$B$60,B55,$C$41:$C$60,1)-2021)+IF(SUMIFS($E$41:$E$60,$B$41:$B$60,B55,$C$41:$C$60,1)&gt;2030,Dynamic!$F$24,SUMIFS(Dynamic!$F$15:$F$24,Dynamic!$C$15:$C$24,SUMIFS($E$41:$E$60,$B$41:$B$60,B55,$C$41:$C$60,1))))*IF(C55&gt;10,Parameters!$D$93/(EV_age-10),INDEX(Parameters!$D$83:$D$92,C55))</f>
        <v>50152.496615856493</v>
      </c>
      <c r="H55" s="92">
        <f>'Input-Output Module'!$D$78</f>
        <v>14927.357407518604</v>
      </c>
      <c r="I55" s="92">
        <f>('Input-Output Module'!$D$57*Calculatie!$C$57*(Calculatie!$C$74*(1+Dynamic!$D$6)^'Breakeven analyse'!D55))
+
('Input-Output Module'!$D$58*Calculatie!$C$57*(INDEX(Laadinfra8[[#All],[External energy costs (€)]],MATCH('M1-PowerSupply'!$B$49,Laadinfra8[[#All],[Charging type]],0))*(1+Dynamic!$D$6)^'Breakeven analyse'!D55))</f>
        <v>35138.470740787234</v>
      </c>
      <c r="J55" s="92">
        <f>'Input-Output Module'!$D$87+'Input-Output Module'!$D$88+'Input-Output Module'!$D$89+'Input-Output Module'!$D$90</f>
        <v>4768.3668400000006</v>
      </c>
      <c r="K55" s="92">
        <f>'Input-Output Module'!$D$91</f>
        <v>0</v>
      </c>
      <c r="L55" s="92">
        <f>'Input-Output Module'!$D$92</f>
        <v>0</v>
      </c>
      <c r="M55" s="92">
        <f>'Input-Output Module'!$D$93</f>
        <v>0</v>
      </c>
      <c r="N55" s="92">
        <f>'Input-Output Module'!$D$94</f>
        <v>399.10124999999999</v>
      </c>
      <c r="O55" s="92">
        <v>0</v>
      </c>
      <c r="P55" s="92">
        <f>'Input-Output Module'!$D$99*(1+Dynamic!$D$4)^'Breakeven analyse'!D55</f>
        <v>4932.0394085786074</v>
      </c>
      <c r="Q55" s="92">
        <f t="shared" si="5"/>
        <v>110317.83226274095</v>
      </c>
      <c r="R55" s="92">
        <f t="shared" si="6"/>
        <v>60165.33564688445</v>
      </c>
      <c r="S55" t="b">
        <f t="shared" si="7"/>
        <v>0</v>
      </c>
    </row>
    <row r="56" spans="1:21" x14ac:dyDescent="0.15">
      <c r="A56" t="s">
        <v>566</v>
      </c>
      <c r="B56">
        <f t="shared" si="4"/>
        <v>3</v>
      </c>
      <c r="C56">
        <f>COUNTIF($B$41:B56,B56)</f>
        <v>2</v>
      </c>
      <c r="D56">
        <v>15</v>
      </c>
      <c r="E56" s="89">
        <f t="shared" si="8"/>
        <v>2045</v>
      </c>
      <c r="F56" s="92">
        <f>IF(C56=1,$F$38*(1+Dynamic!$E$30)^('Breakeven analyse'!D56)-$F$38*(1+Dynamic!$E$30)^('Breakeven analyse'!D56-EV_age)*(IF(EV_age&gt;10,10%,VLOOKUP(EV_age,Parameters!$A$83:$D$92,2)))+IF('Breakeven analyse'!E56&gt;2030,Dynamic!$F$24,SUMIFS(Dynamic!$F$15:$F$24,Dynamic!$C$15:$C$24,'Breakeven analyse'!E56))-IF('Breakeven analyse'!E56-EV_age&gt;2030,Dynamic!$F$24,SUMIFS(Dynamic!$F$15:$F$24,Dynamic!$C$15:$C$24,'Breakeven analyse'!E56-EV_age))*(IF(EV_age&gt;10,10%,VLOOKUP(EV_age,Parameters!$A$83:$D$92,2))),0)</f>
        <v>0</v>
      </c>
      <c r="G56" s="92">
        <f>IF(B56=1,$F$41,$F$38*(1+Dynamic!$E$30)^(SUMIFS($E$41:$E$60,$B$41:$B$60,B56,$C$41:$C$60,1)-2021)+IF(SUMIFS($E$41:$E$60,$B$41:$B$60,B56,$C$41:$C$60,1)&gt;2030,Dynamic!$F$24,SUMIFS(Dynamic!$F$15:$F$24,Dynamic!$C$15:$C$24,SUMIFS($E$41:$E$60,$B$41:$B$60,B56,$C$41:$C$60,1))))*IF(C56&gt;10,Parameters!$D$93/(EV_age-10),INDEX(Parameters!$D$83:$D$92,C56))</f>
        <v>41364.443638876663</v>
      </c>
      <c r="H56" s="92">
        <f>'Input-Output Module'!$D$78</f>
        <v>14927.357407518604</v>
      </c>
      <c r="I56" s="92">
        <f>('Input-Output Module'!$D$57*Calculatie!$C$57*(Calculatie!$C$74*(1+Dynamic!$D$6)^'Breakeven analyse'!D56))
+
('Input-Output Module'!$D$58*Calculatie!$C$57*(INDEX(Laadinfra8[[#All],[External energy costs (€)]],MATCH('M1-PowerSupply'!$B$49,Laadinfra8[[#All],[Charging type]],0))*(1+Dynamic!$D$6)^'Breakeven analyse'!D56))</f>
        <v>35489.8554481951</v>
      </c>
      <c r="J56" s="92">
        <f>'Input-Output Module'!$D$87+'Input-Output Module'!$D$88+'Input-Output Module'!$D$89+'Input-Output Module'!$D$90</f>
        <v>4768.3668400000006</v>
      </c>
      <c r="K56" s="92">
        <f>'Input-Output Module'!$D$91</f>
        <v>0</v>
      </c>
      <c r="L56" s="92">
        <f>'Input-Output Module'!$D$92</f>
        <v>0</v>
      </c>
      <c r="M56" s="92">
        <f>'Input-Output Module'!$D$93</f>
        <v>0</v>
      </c>
      <c r="N56" s="92">
        <f>'Input-Output Module'!$D$94</f>
        <v>399.10124999999999</v>
      </c>
      <c r="O56" s="92">
        <v>0</v>
      </c>
      <c r="P56" s="92">
        <f>'Input-Output Module'!$D$99*(1+Dynamic!$D$4)^'Breakeven analyse'!D56</f>
        <v>5010.9520391158649</v>
      </c>
      <c r="Q56" s="92">
        <f t="shared" si="5"/>
        <v>101960.07662370623</v>
      </c>
      <c r="R56" s="92">
        <f t="shared" si="6"/>
        <v>60595.632984829572</v>
      </c>
      <c r="S56" t="b">
        <f t="shared" si="7"/>
        <v>0</v>
      </c>
    </row>
    <row r="57" spans="1:21" x14ac:dyDescent="0.15">
      <c r="A57" t="s">
        <v>566</v>
      </c>
      <c r="B57">
        <f t="shared" si="4"/>
        <v>3</v>
      </c>
      <c r="C57">
        <f>COUNTIF($B$41:B57,B57)</f>
        <v>3</v>
      </c>
      <c r="D57">
        <v>16</v>
      </c>
      <c r="E57" s="89">
        <f t="shared" si="8"/>
        <v>2046</v>
      </c>
      <c r="F57" s="92">
        <f>IF(C57=1,$F$38*(1+Dynamic!$E$30)^('Breakeven analyse'!D57)-$F$38*(1+Dynamic!$E$30)^('Breakeven analyse'!D57-EV_age)*(IF(EV_age&gt;10,10%,VLOOKUP(EV_age,Parameters!$A$83:$D$92,2)))+IF('Breakeven analyse'!E57&gt;2030,Dynamic!$F$24,SUMIFS(Dynamic!$F$15:$F$24,Dynamic!$C$15:$C$24,'Breakeven analyse'!E57))-IF('Breakeven analyse'!E57-EV_age&gt;2030,Dynamic!$F$24,SUMIFS(Dynamic!$F$15:$F$24,Dynamic!$C$15:$C$24,'Breakeven analyse'!E57-EV_age))*(IF(EV_age&gt;10,10%,VLOOKUP(EV_age,Parameters!$A$83:$D$92,2))),0)</f>
        <v>0</v>
      </c>
      <c r="G57" s="92">
        <f>IF(B57=1,$F$41,$F$38*(1+Dynamic!$E$30)^(SUMIFS($E$41:$E$60,$B$41:$B$60,B57,$C$41:$C$60,1)-2021)+IF(SUMIFS($E$41:$E$60,$B$41:$B$60,B57,$C$41:$C$60,1)&gt;2030,Dynamic!$F$24,SUMIFS(Dynamic!$F$15:$F$24,Dynamic!$C$15:$C$24,SUMIFS($E$41:$E$60,$B$41:$B$60,B57,$C$41:$C$60,1))))*IF(C57&gt;10,Parameters!$D$93/(EV_age-10),INDEX(Parameters!$D$83:$D$92,C57))</f>
        <v>33538.43136875068</v>
      </c>
      <c r="H57" s="92">
        <f>'Input-Output Module'!$D$78</f>
        <v>14927.357407518604</v>
      </c>
      <c r="I57" s="92">
        <f>('Input-Output Module'!$D$57*Calculatie!$C$57*(Calculatie!$C$74*(1+Dynamic!$D$6)^'Breakeven analyse'!D57))
+
('Input-Output Module'!$D$58*Calculatie!$C$57*(INDEX(Laadinfra8[[#All],[External energy costs (€)]],MATCH('M1-PowerSupply'!$B$49,Laadinfra8[[#All],[Charging type]],0))*(1+Dynamic!$D$6)^'Breakeven analyse'!D57))</f>
        <v>35844.754002677058</v>
      </c>
      <c r="J57" s="92">
        <f>'Input-Output Module'!$D$87+'Input-Output Module'!$D$88+'Input-Output Module'!$D$89+'Input-Output Module'!$D$90</f>
        <v>4768.3668400000006</v>
      </c>
      <c r="K57" s="92">
        <f>'Input-Output Module'!$D$91</f>
        <v>0</v>
      </c>
      <c r="L57" s="92">
        <f>'Input-Output Module'!$D$92</f>
        <v>0</v>
      </c>
      <c r="M57" s="92">
        <f>'Input-Output Module'!$D$93</f>
        <v>0</v>
      </c>
      <c r="N57" s="92">
        <f>'Input-Output Module'!$D$94</f>
        <v>399.10124999999999</v>
      </c>
      <c r="O57" s="92">
        <v>0</v>
      </c>
      <c r="P57" s="92">
        <f>'Input-Output Module'!$D$99*(1+Dynamic!$D$4)^'Breakeven analyse'!D57</f>
        <v>5091.1272717417187</v>
      </c>
      <c r="Q57" s="92">
        <f t="shared" si="5"/>
        <v>94569.138140688068</v>
      </c>
      <c r="R57" s="92">
        <f t="shared" si="6"/>
        <v>61030.706771937381</v>
      </c>
      <c r="S57" t="b">
        <f t="shared" si="7"/>
        <v>0</v>
      </c>
    </row>
    <row r="58" spans="1:21" x14ac:dyDescent="0.15">
      <c r="A58" t="s">
        <v>566</v>
      </c>
      <c r="B58">
        <f t="shared" si="4"/>
        <v>3</v>
      </c>
      <c r="C58">
        <f>COUNTIF($B$41:B58,B58)</f>
        <v>4</v>
      </c>
      <c r="D58">
        <v>17</v>
      </c>
      <c r="E58" s="89">
        <f t="shared" si="8"/>
        <v>2047</v>
      </c>
      <c r="F58" s="92">
        <f>IF(C58=1,$F$38*(1+Dynamic!$E$30)^('Breakeven analyse'!D58)-$F$38*(1+Dynamic!$E$30)^('Breakeven analyse'!D58-EV_age)*(IF(EV_age&gt;10,10%,VLOOKUP(EV_age,Parameters!$A$83:$D$92,2)))+IF('Breakeven analyse'!E58&gt;2030,Dynamic!$F$24,SUMIFS(Dynamic!$F$15:$F$24,Dynamic!$C$15:$C$24,'Breakeven analyse'!E58))-IF('Breakeven analyse'!E58-EV_age&gt;2030,Dynamic!$F$24,SUMIFS(Dynamic!$F$15:$F$24,Dynamic!$C$15:$C$24,'Breakeven analyse'!E58-EV_age))*(IF(EV_age&gt;10,10%,VLOOKUP(EV_age,Parameters!$A$83:$D$92,2))),0)</f>
        <v>0</v>
      </c>
      <c r="G58" s="92">
        <f>IF(B58=1,$F$41,$F$38*(1+Dynamic!$E$30)^(SUMIFS($E$41:$E$60,$B$41:$B$60,B58,$C$41:$C$60,1)-2021)+IF(SUMIFS($E$41:$E$60,$B$41:$B$60,B58,$C$41:$C$60,1)&gt;2030,Dynamic!$F$24,SUMIFS(Dynamic!$F$15:$F$24,Dynamic!$C$15:$C$24,SUMIFS($E$41:$E$60,$B$41:$B$60,B58,$C$41:$C$60,1))))*IF(C58&gt;10,Parameters!$D$93/(EV_age-10),INDEX(Parameters!$D$83:$D$92,C58))</f>
        <v>27193.074044376164</v>
      </c>
      <c r="H58" s="92">
        <f>'Input-Output Module'!$D$78</f>
        <v>14927.357407518604</v>
      </c>
      <c r="I58" s="92">
        <f>('Input-Output Module'!$D$57*Calculatie!$C$57*(Calculatie!$C$74*(1+Dynamic!$D$6)^'Breakeven analyse'!D58))
+
('Input-Output Module'!$D$58*Calculatie!$C$57*(INDEX(Laadinfra8[[#All],[External energy costs (€)]],MATCH('M1-PowerSupply'!$B$49,Laadinfra8[[#All],[Charging type]],0))*(1+Dynamic!$D$6)^'Breakeven analyse'!D58))</f>
        <v>36203.201542703828</v>
      </c>
      <c r="J58" s="92">
        <f>'Input-Output Module'!$D$87+'Input-Output Module'!$D$88+'Input-Output Module'!$D$89+'Input-Output Module'!$D$90</f>
        <v>4768.3668400000006</v>
      </c>
      <c r="K58" s="92">
        <f>'Input-Output Module'!$D$91</f>
        <v>0</v>
      </c>
      <c r="L58" s="92">
        <f>'Input-Output Module'!$D$92</f>
        <v>0</v>
      </c>
      <c r="M58" s="92">
        <f>'Input-Output Module'!$D$93</f>
        <v>0</v>
      </c>
      <c r="N58" s="92">
        <f>'Input-Output Module'!$D$94</f>
        <v>399.10124999999999</v>
      </c>
      <c r="O58" s="92">
        <v>0</v>
      </c>
      <c r="P58" s="92">
        <f>'Input-Output Module'!$D$99*(1+Dynamic!$D$4)^'Breakeven analyse'!D58</f>
        <v>5172.5853080895868</v>
      </c>
      <c r="Q58" s="92">
        <f t="shared" si="5"/>
        <v>88663.686392688192</v>
      </c>
      <c r="R58" s="92">
        <f t="shared" si="6"/>
        <v>61470.612348312017</v>
      </c>
      <c r="S58" t="b">
        <f t="shared" si="7"/>
        <v>0</v>
      </c>
    </row>
    <row r="59" spans="1:21" x14ac:dyDescent="0.15">
      <c r="A59" t="s">
        <v>566</v>
      </c>
      <c r="B59">
        <f t="shared" si="4"/>
        <v>3</v>
      </c>
      <c r="C59">
        <f>COUNTIF($B$41:B59,B59)</f>
        <v>5</v>
      </c>
      <c r="D59">
        <v>18</v>
      </c>
      <c r="E59" s="89">
        <f t="shared" si="8"/>
        <v>2048</v>
      </c>
      <c r="F59" s="92">
        <f>IF(C59=1,$F$38*(1+Dynamic!$E$30)^('Breakeven analyse'!D59)-$F$38*(1+Dynamic!$E$30)^('Breakeven analyse'!D59-EV_age)*(IF(EV_age&gt;10,10%,VLOOKUP(EV_age,Parameters!$A$83:$D$92,2)))+IF('Breakeven analyse'!E59&gt;2030,Dynamic!$F$24,SUMIFS(Dynamic!$F$15:$F$24,Dynamic!$C$15:$C$24,'Breakeven analyse'!E59))-IF('Breakeven analyse'!E59-EV_age&gt;2030,Dynamic!$F$24,SUMIFS(Dynamic!$F$15:$F$24,Dynamic!$C$15:$C$24,'Breakeven analyse'!E59-EV_age))*(IF(EV_age&gt;10,10%,VLOOKUP(EV_age,Parameters!$A$83:$D$92,2))),0)</f>
        <v>0</v>
      </c>
      <c r="G59" s="92">
        <f>IF(B59=1,$F$41,$F$38*(1+Dynamic!$E$30)^(SUMIFS($E$41:$E$60,$B$41:$B$60,B59,$C$41:$C$60,1)-2021)+IF(SUMIFS($E$41:$E$60,$B$41:$B$60,B59,$C$41:$C$60,1)&gt;2030,Dynamic!$F$24,SUMIFS(Dynamic!$F$15:$F$24,Dynamic!$C$15:$C$24,SUMIFS($E$41:$E$60,$B$41:$B$60,B59,$C$41:$C$60,1))))*IF(C59&gt;10,Parameters!$D$93/(EV_age-10),INDEX(Parameters!$D$83:$D$92,C59))</f>
        <v>22048.236778059862</v>
      </c>
      <c r="H59" s="92">
        <f>'Input-Output Module'!$D$78</f>
        <v>14927.357407518604</v>
      </c>
      <c r="I59" s="92">
        <f>('Input-Output Module'!$D$57*Calculatie!$C$57*(Calculatie!$C$74*(1+Dynamic!$D$6)^'Breakeven analyse'!D59))
+
('Input-Output Module'!$D$58*Calculatie!$C$57*(INDEX(Laadinfra8[[#All],[External energy costs (€)]],MATCH('M1-PowerSupply'!$B$49,Laadinfra8[[#All],[Charging type]],0))*(1+Dynamic!$D$6)^'Breakeven analyse'!D59))</f>
        <v>36565.233558130873</v>
      </c>
      <c r="J59" s="92">
        <f>'Input-Output Module'!$D$87+'Input-Output Module'!$D$88+'Input-Output Module'!$D$89+'Input-Output Module'!$D$90</f>
        <v>4768.3668400000006</v>
      </c>
      <c r="K59" s="92">
        <f>'Input-Output Module'!$D$91</f>
        <v>0</v>
      </c>
      <c r="L59" s="92">
        <f>'Input-Output Module'!$D$92</f>
        <v>0</v>
      </c>
      <c r="M59" s="92">
        <f>'Input-Output Module'!$D$93</f>
        <v>0</v>
      </c>
      <c r="N59" s="92">
        <f>'Input-Output Module'!$D$94</f>
        <v>399.10124999999999</v>
      </c>
      <c r="O59" s="92">
        <v>0</v>
      </c>
      <c r="P59" s="92">
        <f>'Input-Output Module'!$D$99*(1+Dynamic!$D$4)^'Breakeven analyse'!D59</f>
        <v>5255.3466730190194</v>
      </c>
      <c r="Q59" s="92">
        <f t="shared" si="5"/>
        <v>83963.642506728356</v>
      </c>
      <c r="R59" s="92">
        <f t="shared" si="6"/>
        <v>61915.405728668498</v>
      </c>
      <c r="S59" t="b">
        <f t="shared" si="7"/>
        <v>0</v>
      </c>
    </row>
    <row r="60" spans="1:21" x14ac:dyDescent="0.15">
      <c r="A60" t="s">
        <v>566</v>
      </c>
      <c r="B60">
        <f t="shared" si="4"/>
        <v>3</v>
      </c>
      <c r="C60">
        <f>COUNTIF($B$41:B60,B60)</f>
        <v>6</v>
      </c>
      <c r="D60">
        <v>19</v>
      </c>
      <c r="E60" s="89">
        <f t="shared" si="8"/>
        <v>2049</v>
      </c>
      <c r="F60" s="92">
        <f>IF(C60=1,$F$38*(1+Dynamic!$E$30)^('Breakeven analyse'!D60)-$F$38*(1+Dynamic!$E$30)^('Breakeven analyse'!D60-EV_age)*(IF(EV_age&gt;10,10%,VLOOKUP(EV_age,Parameters!$A$83:$D$92,2)))+IF('Breakeven analyse'!E60&gt;2030,Dynamic!$F$24,SUMIFS(Dynamic!$F$15:$F$24,Dynamic!$C$15:$C$24,'Breakeven analyse'!E60))-IF('Breakeven analyse'!E60-EV_age&gt;2030,Dynamic!$F$24,SUMIFS(Dynamic!$F$15:$F$24,Dynamic!$C$15:$C$24,'Breakeven analyse'!E60-EV_age))*(IF(EV_age&gt;10,10%,VLOOKUP(EV_age,Parameters!$A$83:$D$92,2))),0)</f>
        <v>0</v>
      </c>
      <c r="G60" s="92">
        <f>IF(B60=1,$F$41,$F$38*(1+Dynamic!$E$30)^(SUMIFS($E$41:$E$60,$B$41:$B$60,B60,$C$41:$C$60,1)-2021)+IF(SUMIFS($E$41:$E$60,$B$41:$B$60,B60,$C$41:$C$60,1)&gt;2030,Dynamic!$F$24,SUMIFS(Dynamic!$F$15:$F$24,Dynamic!$C$15:$C$24,SUMIFS($E$41:$E$60,$B$41:$B$60,B60,$C$41:$C$60,1))))*IF(C60&gt;10,Parameters!$D$93/(EV_age-10),INDEX(Parameters!$D$83:$D$92,C60))</f>
        <v>17876.785251571331</v>
      </c>
      <c r="H60" s="92">
        <f>'Input-Output Module'!$D$78</f>
        <v>14927.357407518604</v>
      </c>
      <c r="I60" s="92">
        <f>('Input-Output Module'!$D$57*Calculatie!$C$57*(Calculatie!$C$74*(1+Dynamic!$D$6)^'Breakeven analyse'!D60))
+
('Input-Output Module'!$D$58*Calculatie!$C$57*(INDEX(Laadinfra8[[#All],[External energy costs (€)]],MATCH('M1-PowerSupply'!$B$49,Laadinfra8[[#All],[Charging type]],0))*(1+Dynamic!$D$6)^'Breakeven analyse'!D60))</f>
        <v>36930.885893712169</v>
      </c>
      <c r="J60" s="92">
        <f>'Input-Output Module'!$D$87+'Input-Output Module'!$D$88+'Input-Output Module'!$D$89+'Input-Output Module'!$D$90</f>
        <v>4768.3668400000006</v>
      </c>
      <c r="K60" s="92">
        <f>'Input-Output Module'!$D$91</f>
        <v>0</v>
      </c>
      <c r="L60" s="92">
        <f>'Input-Output Module'!$D$92</f>
        <v>0</v>
      </c>
      <c r="M60" s="92">
        <f>'Input-Output Module'!$D$93</f>
        <v>0</v>
      </c>
      <c r="N60" s="92">
        <f>'Input-Output Module'!$D$94</f>
        <v>399.10124999999999</v>
      </c>
      <c r="O60" s="92">
        <v>0</v>
      </c>
      <c r="P60" s="92">
        <f>'Input-Output Module'!$D$99*(1+Dynamic!$D$4)^'Breakeven analyse'!D60</f>
        <v>5339.4322197873234</v>
      </c>
      <c r="Q60" s="92">
        <f t="shared" si="5"/>
        <v>80241.928862589441</v>
      </c>
      <c r="R60" s="92">
        <f t="shared" si="6"/>
        <v>62365.143611018102</v>
      </c>
      <c r="S60" t="b">
        <f t="shared" si="7"/>
        <v>0</v>
      </c>
    </row>
    <row r="64" spans="1:21" x14ac:dyDescent="0.15">
      <c r="F64" s="123">
        <f>F38</f>
        <v>132250</v>
      </c>
    </row>
    <row r="65" spans="1:21" x14ac:dyDescent="0.15">
      <c r="F65">
        <f>F64*(1+(VLOOKUP(('Input-Output Module'!B20-2022),Dynamic!$B$34:$D$62,3)))^0</f>
        <v>132250</v>
      </c>
      <c r="G65" s="89">
        <f>F65+VLOOKUP('Input-Output Module'!$B$20,Dynamic!$C$15:$G$24,5)+VLOOKUP('Input-Output Module'!$B$20,Dynamic!$C$68:$H$96,6)</f>
        <v>245275.41943239604</v>
      </c>
      <c r="H65" s="123">
        <f>G65-Calculatie!$D$49</f>
        <v>245275.41943239604</v>
      </c>
    </row>
    <row r="66" spans="1:21" x14ac:dyDescent="0.15">
      <c r="E66" t="s">
        <v>525</v>
      </c>
      <c r="F66" t="s">
        <v>564</v>
      </c>
      <c r="G66" t="s">
        <v>364</v>
      </c>
      <c r="H66" t="s">
        <v>556</v>
      </c>
      <c r="I66" t="s">
        <v>557</v>
      </c>
      <c r="J66" t="s">
        <v>558</v>
      </c>
      <c r="K66" s="254" t="s">
        <v>415</v>
      </c>
      <c r="L66" s="254" t="s">
        <v>45</v>
      </c>
      <c r="M66" s="254" t="s">
        <v>559</v>
      </c>
      <c r="N66" s="254" t="s">
        <v>560</v>
      </c>
      <c r="O66" s="254" t="s">
        <v>561</v>
      </c>
      <c r="P66" s="254" t="s">
        <v>562</v>
      </c>
      <c r="Q66" t="s">
        <v>577</v>
      </c>
    </row>
    <row r="67" spans="1:21" x14ac:dyDescent="0.15">
      <c r="A67" t="s">
        <v>578</v>
      </c>
      <c r="B67">
        <f t="shared" ref="B67:B86" si="9">IF(MOD(D67,FC_age)=0,ROUNDUP(D67/FC_age,0)+1,ROUNDUP(D67/FC_age,0))</f>
        <v>1</v>
      </c>
      <c r="C67">
        <f>COUNTIF($B$67:B67,B67)</f>
        <v>1</v>
      </c>
      <c r="D67">
        <v>0</v>
      </c>
      <c r="E67" s="89">
        <f>'Input-Output Module'!B20</f>
        <v>2030</v>
      </c>
      <c r="F67" s="123">
        <f>Calculatie!D50</f>
        <v>411109.82250000001</v>
      </c>
      <c r="G67">
        <f>IF(B67=1,$F$67,$F$38*(1+Dynamic!$E$30)^(SUMIFS($E$67:$E$86,$B$67:$B$86,B67,$C$67:$C$86,1)-2021)+IF(SUMIFS($E$67:$E$86,$B$67:$B$86,B67,$C$67:$C$86,1)&gt;2030,Dynamic!$G$24,SUMIFS(Dynamic!$G$15:$G$24,Dynamic!$C$15:$C$24,SUMIFS($E$67:$E$86,$B$67:$B$86,B67,$C$67:$C$86,1))+VLOOKUP(SUMIFS($E$67:$E$86,$B$67:$B$86,B67,$C$67:$C$86,1),Dynamic!$C$68:$H$96,6)))*IF(C67&gt;10,Parameters!$D$93/(FC_age-10),INDEX(Parameters!$D$83:$D$92,C67))</f>
        <v>76708.960181374263</v>
      </c>
      <c r="H67" s="92">
        <f>'Input-Output Module'!$E$78</f>
        <v>24016.249497649605</v>
      </c>
      <c r="I67" s="92">
        <f>Calculatie!$D$57*(Calculatie!$D$74*(1+Dynamic!$D$26)^'Breakeven analyse'!D67)</f>
        <v>62182.551555815109</v>
      </c>
      <c r="J67" s="92">
        <f>'Input-Output Module'!$E$87+'Input-Output Module'!$E$88+'Input-Output Module'!$E$89+'Input-Output Module'!$E$90</f>
        <v>11166.732839999999</v>
      </c>
      <c r="K67" s="92">
        <f>'Input-Output Module'!$E$91</f>
        <v>0</v>
      </c>
      <c r="L67" s="92">
        <f>'Input-Output Module'!$E$92</f>
        <v>0</v>
      </c>
      <c r="M67" s="92">
        <f>'Input-Output Module'!$E$93</f>
        <v>0</v>
      </c>
      <c r="N67" s="92">
        <f>'Input-Output Module'!$E$94</f>
        <v>399.10124999999999</v>
      </c>
      <c r="O67" s="92">
        <v>0</v>
      </c>
      <c r="P67" s="92">
        <v>0</v>
      </c>
      <c r="Q67" s="92">
        <f>SUM(G67:P67)</f>
        <v>174473.595324839</v>
      </c>
      <c r="R67" s="92">
        <f>SUM(H67:N67,P67)</f>
        <v>97764.635143464722</v>
      </c>
      <c r="S67" t="b">
        <f>Q67&lt;Q41</f>
        <v>0</v>
      </c>
      <c r="U67" t="s">
        <v>579</v>
      </c>
    </row>
    <row r="68" spans="1:21" x14ac:dyDescent="0.15">
      <c r="A68" t="s">
        <v>578</v>
      </c>
      <c r="B68">
        <f t="shared" si="9"/>
        <v>1</v>
      </c>
      <c r="C68">
        <f>COUNTIF($B$67:B68,B68)</f>
        <v>2</v>
      </c>
      <c r="D68">
        <v>1</v>
      </c>
      <c r="E68" s="89">
        <f>E67+1</f>
        <v>2031</v>
      </c>
      <c r="F68">
        <f>IF(C68=1,$F$64*(1+Dynamic!$E$30)^('Breakeven analyse'!D68)-$F$64*(1+Dynamic!$E$30)^('Breakeven analyse'!D68-EV_age)*(IF(EV_age&gt;10,10%,VLOOKUP(FC_age,Parameters!$A$83:$D$92,2)))+IF('Breakeven analyse'!E68&gt;2030,Dynamic!$F$24,SUMIFS(Dynamic!$F$15:$F$24,Dynamic!$C$15:$C$24,'Breakeven analyse'!E68))-IF('Breakeven analyse'!E68-FC_age&gt;2030,Dynamic!$F$24,SUMIFS(Dynamic!$F$15:$F$24,Dynamic!$C$15:$C$24,'Breakeven analyse'!E68-FC_age))*(IF(FC_age&gt;10,10%,VLOOKUP(FC_age,Parameters!$A$83:$D$92,2))),0)</f>
        <v>0</v>
      </c>
      <c r="G68">
        <f>IF(B68=1,$F$67,$F$38*(1+Dynamic!$E$30)^(SUMIFS($E$67:$E$86,$B$67:$B$86,B68,$C$67:$C$86,1)-2021)+IF(SUMIFS($E$67:$E$86,$B$67:$B$86,B68,$C$67:$C$86,1)&gt;2030,Dynamic!$G$24,SUMIFS(Dynamic!$G$15:$G$24,Dynamic!$C$15:$C$24,SUMIFS($E$67:$E$86,$B$67:$B$86,B68,$C$67:$C$86,1))+VLOOKUP(SUMIFS($E$67:$E$86,$B$67:$B$86,B68,$C$67:$C$86,1),Dynamic!$C$68:$H$96,6)))*IF(C68&gt;10,Parameters!$D$93/(FC_age-10),INDEX(Parameters!$D$83:$D$92,C68))</f>
        <v>63267.507584379935</v>
      </c>
      <c r="H68" s="92">
        <f>'Input-Output Module'!$E$78</f>
        <v>24016.249497649605</v>
      </c>
      <c r="I68" s="92">
        <f>Calculatie!$D$57*(Calculatie!$D$74*(1+Dynamic!$D$26)^'Breakeven analyse'!D68)</f>
        <v>62804.377071373259</v>
      </c>
      <c r="J68" s="92">
        <f>'Input-Output Module'!$E$87+'Input-Output Module'!$E$88+'Input-Output Module'!$E$89+'Input-Output Module'!$E$90</f>
        <v>11166.732839999999</v>
      </c>
      <c r="K68" s="92">
        <f>'Input-Output Module'!$E$91</f>
        <v>0</v>
      </c>
      <c r="L68" s="92">
        <f>'Input-Output Module'!$E$92</f>
        <v>0</v>
      </c>
      <c r="M68" s="92">
        <f>'Input-Output Module'!$E$93</f>
        <v>0</v>
      </c>
      <c r="N68" s="92">
        <f>'Input-Output Module'!$E$94</f>
        <v>399.10124999999999</v>
      </c>
      <c r="O68" s="92">
        <v>0</v>
      </c>
      <c r="P68" s="92">
        <v>0</v>
      </c>
      <c r="Q68" s="92">
        <f t="shared" ref="Q68:Q86" si="10">SUM(G68:P68)</f>
        <v>161653.96824340281</v>
      </c>
      <c r="R68" s="92">
        <f t="shared" ref="R68:R86" si="11">SUM(H68:N68,P68)</f>
        <v>98386.460659022865</v>
      </c>
      <c r="S68" t="b">
        <f t="shared" ref="S68:S86" si="12">Q68&lt;Q42</f>
        <v>0</v>
      </c>
      <c r="T68" s="99">
        <f>I68/I67</f>
        <v>1.01</v>
      </c>
    </row>
    <row r="69" spans="1:21" x14ac:dyDescent="0.15">
      <c r="A69" t="s">
        <v>578</v>
      </c>
      <c r="B69">
        <f t="shared" si="9"/>
        <v>1</v>
      </c>
      <c r="C69">
        <f>COUNTIF($B$67:B69,B69)</f>
        <v>3</v>
      </c>
      <c r="D69">
        <v>2</v>
      </c>
      <c r="E69" s="89">
        <f t="shared" ref="E69:E86" si="13">E68+1</f>
        <v>2032</v>
      </c>
      <c r="F69">
        <f>IF(C69=1,$F$38*(1+Dynamic!$E$30)^('Breakeven analyse'!D69)-$F$38*(1+Dynamic!$E$30)^('Breakeven analyse'!D69-EV_age)*(IF(EV_age&gt;10,10%,VLOOKUP(FC_age,Parameters!$A$83:$D$92,2)))+IF('Breakeven analyse'!E69&gt;2030,Dynamic!$F$24,SUMIFS(Dynamic!$F$15:$F$24,Dynamic!$C$15:$C$24,'Breakeven analyse'!E69))-IF('Breakeven analyse'!E69-FC_age&gt;2030,Dynamic!$F$24,SUMIFS(Dynamic!$F$15:$F$24,Dynamic!$C$15:$C$24,'Breakeven analyse'!E69-FC_age))*(IF(FC_age&gt;10,10%,VLOOKUP(FC_age,Parameters!$A$83:$D$92,2))),0)</f>
        <v>0</v>
      </c>
      <c r="G69">
        <f>IF(B69=1,$F$67,$F$38*(1+Dynamic!$E$30)^(SUMIFS($E$67:$E$86,$B$67:$B$86,B69,$C$67:$C$86,1)-2021)+IF(SUMIFS($E$67:$E$86,$B$67:$B$86,B69,$C$67:$C$86,1)&gt;2030,Dynamic!$G$24,SUMIFS(Dynamic!$G$15:$G$24,Dynamic!$C$15:$C$24,SUMIFS($E$67:$E$86,$B$67:$B$86,B69,$C$67:$C$86,1))+VLOOKUP(SUMIFS($E$67:$E$86,$B$67:$B$86,B69,$C$67:$C$86,1),Dynamic!$C$68:$H$96,6)))*IF(C69&gt;10,Parameters!$D$93/(FC_age-10),INDEX(Parameters!$D$83:$D$92,C69))</f>
        <v>51297.509994703847</v>
      </c>
      <c r="H69" s="92">
        <f>'Input-Output Module'!$E$78</f>
        <v>24016.249497649605</v>
      </c>
      <c r="I69" s="92">
        <f>Calculatie!$D$57*(Calculatie!$D$74*(1+Dynamic!$D$26)^'Breakeven analyse'!D69)</f>
        <v>63432.420842086991</v>
      </c>
      <c r="J69" s="92">
        <f>'Input-Output Module'!$E$87+'Input-Output Module'!$E$88+'Input-Output Module'!$E$89+'Input-Output Module'!$E$90</f>
        <v>11166.732839999999</v>
      </c>
      <c r="K69" s="92">
        <f>'Input-Output Module'!$E$91</f>
        <v>0</v>
      </c>
      <c r="L69" s="92">
        <f>'Input-Output Module'!$E$92</f>
        <v>0</v>
      </c>
      <c r="M69" s="92">
        <f>'Input-Output Module'!$E$93</f>
        <v>0</v>
      </c>
      <c r="N69" s="92">
        <f>'Input-Output Module'!$E$94</f>
        <v>399.10124999999999</v>
      </c>
      <c r="O69" s="92">
        <v>0</v>
      </c>
      <c r="P69" s="92">
        <v>0</v>
      </c>
      <c r="Q69" s="92">
        <f t="shared" si="10"/>
        <v>150312.01442444045</v>
      </c>
      <c r="R69" s="92">
        <f t="shared" si="11"/>
        <v>99014.504429736597</v>
      </c>
      <c r="S69" t="b">
        <f t="shared" si="12"/>
        <v>0</v>
      </c>
    </row>
    <row r="70" spans="1:21" x14ac:dyDescent="0.15">
      <c r="A70" t="s">
        <v>578</v>
      </c>
      <c r="B70">
        <f t="shared" si="9"/>
        <v>1</v>
      </c>
      <c r="C70">
        <f>COUNTIF($B$67:B70,B70)</f>
        <v>4</v>
      </c>
      <c r="D70">
        <v>3</v>
      </c>
      <c r="E70" s="89">
        <f t="shared" si="13"/>
        <v>2033</v>
      </c>
      <c r="F70">
        <f>IF(C70=1,$F$38*(1+Dynamic!$E$30)^('Breakeven analyse'!D70)-$F$38*(1+Dynamic!$E$30)^('Breakeven analyse'!D70-EV_age)*(IF(EV_age&gt;10,10%,VLOOKUP(FC_age,Parameters!$A$83:$D$92,2)))+IF('Breakeven analyse'!E70&gt;2030,Dynamic!$F$24,SUMIFS(Dynamic!$F$15:$F$24,Dynamic!$C$15:$C$24,'Breakeven analyse'!E70))-IF('Breakeven analyse'!E70-FC_age&gt;2030,Dynamic!$F$24,SUMIFS(Dynamic!$F$15:$F$24,Dynamic!$C$15:$C$24,'Breakeven analyse'!E70-FC_age))*(IF(FC_age&gt;10,10%,VLOOKUP(FC_age,Parameters!$A$83:$D$92,2))),0)</f>
        <v>0</v>
      </c>
      <c r="G70">
        <f>IF(B70=1,$F$67,$F$38*(1+Dynamic!$E$30)^(SUMIFS($E$67:$E$86,$B$67:$B$86,B70,$C$67:$C$86,1)-2021)+IF(SUMIFS($E$67:$E$86,$B$67:$B$86,B70,$C$67:$C$86,1)&gt;2030,Dynamic!$G$24,SUMIFS(Dynamic!$G$15:$G$24,Dynamic!$C$15:$C$24,SUMIFS($E$67:$E$86,$B$67:$B$86,B70,$C$67:$C$86,1))+VLOOKUP(SUMIFS($E$67:$E$86,$B$67:$B$86,B70,$C$67:$C$86,1),Dynamic!$C$68:$H$96,6)))*IF(C70&gt;10,Parameters!$D$93/(FC_age-10),INDEX(Parameters!$D$83:$D$92,C70))</f>
        <v>41592.19530099538</v>
      </c>
      <c r="H70" s="92">
        <f>'Input-Output Module'!$E$78</f>
        <v>24016.249497649605</v>
      </c>
      <c r="I70" s="92">
        <f>Calculatie!$D$57*(Calculatie!$D$74*(1+Dynamic!$D$26)^'Breakeven analyse'!D70)</f>
        <v>64066.745050507852</v>
      </c>
      <c r="J70" s="92">
        <f>'Input-Output Module'!$E$87+'Input-Output Module'!$E$88+'Input-Output Module'!$E$89+'Input-Output Module'!$E$90</f>
        <v>11166.732839999999</v>
      </c>
      <c r="K70" s="92">
        <f>'Input-Output Module'!$E$91</f>
        <v>0</v>
      </c>
      <c r="L70" s="92">
        <f>'Input-Output Module'!$E$92</f>
        <v>0</v>
      </c>
      <c r="M70" s="92">
        <f>'Input-Output Module'!$E$93</f>
        <v>0</v>
      </c>
      <c r="N70" s="92">
        <f>'Input-Output Module'!$E$94</f>
        <v>399.10124999999999</v>
      </c>
      <c r="O70" s="92">
        <v>0</v>
      </c>
      <c r="P70" s="92">
        <v>0</v>
      </c>
      <c r="Q70" s="92">
        <f t="shared" si="10"/>
        <v>141241.02393915286</v>
      </c>
      <c r="R70" s="92">
        <f t="shared" si="11"/>
        <v>99648.828638157458</v>
      </c>
      <c r="S70" t="b">
        <f t="shared" si="12"/>
        <v>0</v>
      </c>
    </row>
    <row r="71" spans="1:21" x14ac:dyDescent="0.15">
      <c r="A71" t="s">
        <v>578</v>
      </c>
      <c r="B71">
        <f t="shared" si="9"/>
        <v>1</v>
      </c>
      <c r="C71">
        <f>COUNTIF($B$67:B71,B71)</f>
        <v>5</v>
      </c>
      <c r="D71">
        <v>4</v>
      </c>
      <c r="E71" s="89">
        <f t="shared" si="13"/>
        <v>2034</v>
      </c>
      <c r="F71">
        <f>IF(C71=1,$F$38*(1+Dynamic!$E$30)^('Breakeven analyse'!D71)-$F$38*(1+Dynamic!$E$30)^('Breakeven analyse'!D71-EV_age)*(IF(EV_age&gt;10,10%,VLOOKUP(FC_age,Parameters!$A$83:$D$92,2)))+IF('Breakeven analyse'!E71&gt;2030,Dynamic!$F$24,SUMIFS(Dynamic!$F$15:$F$24,Dynamic!$C$15:$C$24,'Breakeven analyse'!E71))-IF('Breakeven analyse'!E71-FC_age&gt;2030,Dynamic!$F$24,SUMIFS(Dynamic!$F$15:$F$24,Dynamic!$C$15:$C$24,'Breakeven analyse'!E71-FC_age))*(IF(FC_age&gt;10,10%,VLOOKUP(FC_age,Parameters!$A$83:$D$92,2))),0)</f>
        <v>0</v>
      </c>
      <c r="G71">
        <f>IF(B71=1,$F$67,$F$38*(1+Dynamic!$E$30)^(SUMIFS($E$67:$E$86,$B$67:$B$86,B71,$C$67:$C$86,1)-2021)+IF(SUMIFS($E$67:$E$86,$B$67:$B$86,B71,$C$67:$C$86,1)&gt;2030,Dynamic!$G$24,SUMIFS(Dynamic!$G$15:$G$24,Dynamic!$C$15:$C$24,SUMIFS($E$67:$E$86,$B$67:$B$86,B71,$C$67:$C$86,1))+VLOOKUP(SUMIFS($E$67:$E$86,$B$67:$B$86,B71,$C$67:$C$86,1),Dynamic!$C$68:$H$96,6)))*IF(C71&gt;10,Parameters!$D$93/(FC_age-10),INDEX(Parameters!$D$83:$D$92,C71))</f>
        <v>33723.093189800951</v>
      </c>
      <c r="H71" s="92">
        <f>'Input-Output Module'!$E$78</f>
        <v>24016.249497649605</v>
      </c>
      <c r="I71" s="92">
        <f>Calculatie!$D$57*(Calculatie!$D$74*(1+Dynamic!$D$26)^'Breakeven analyse'!D71)</f>
        <v>64707.412501012943</v>
      </c>
      <c r="J71" s="92">
        <f>'Input-Output Module'!$E$87+'Input-Output Module'!$E$88+'Input-Output Module'!$E$89+'Input-Output Module'!$E$90</f>
        <v>11166.732839999999</v>
      </c>
      <c r="K71" s="92">
        <f>'Input-Output Module'!$E$91</f>
        <v>0</v>
      </c>
      <c r="L71" s="92">
        <f>'Input-Output Module'!$E$92</f>
        <v>0</v>
      </c>
      <c r="M71" s="92">
        <f>'Input-Output Module'!$E$93</f>
        <v>0</v>
      </c>
      <c r="N71" s="92">
        <f>'Input-Output Module'!$E$94</f>
        <v>399.10124999999999</v>
      </c>
      <c r="O71" s="92">
        <v>0</v>
      </c>
      <c r="P71" s="92">
        <v>0</v>
      </c>
      <c r="Q71" s="92">
        <f t="shared" si="10"/>
        <v>134012.58927846351</v>
      </c>
      <c r="R71" s="92">
        <f t="shared" si="11"/>
        <v>100289.49608866255</v>
      </c>
      <c r="S71" t="b">
        <f t="shared" si="12"/>
        <v>0</v>
      </c>
    </row>
    <row r="72" spans="1:21" x14ac:dyDescent="0.15">
      <c r="A72" t="s">
        <v>578</v>
      </c>
      <c r="B72">
        <f t="shared" si="9"/>
        <v>1</v>
      </c>
      <c r="C72">
        <f>COUNTIF($B$67:B72,B72)</f>
        <v>6</v>
      </c>
      <c r="D72">
        <v>5</v>
      </c>
      <c r="E72" s="89">
        <f t="shared" si="13"/>
        <v>2035</v>
      </c>
      <c r="F72">
        <f>IF(C72=1,$F$38*(1+Dynamic!$E$30)^('Breakeven analyse'!D72)-$F$38*(1+Dynamic!$E$30)^('Breakeven analyse'!D72-EV_age)*(IF(EV_age&gt;10,10%,VLOOKUP(FC_age,Parameters!$A$83:$D$92,2)))+IF('Breakeven analyse'!E72&gt;2030,Dynamic!$F$24,SUMIFS(Dynamic!$F$15:$F$24,Dynamic!$C$15:$C$24,'Breakeven analyse'!E72))-IF('Breakeven analyse'!E72-FC_age&gt;2030,Dynamic!$F$24,SUMIFS(Dynamic!$F$15:$F$24,Dynamic!$C$15:$C$24,'Breakeven analyse'!E72-FC_age))*(IF(FC_age&gt;10,10%,VLOOKUP(FC_age,Parameters!$A$83:$D$92,2))),0)</f>
        <v>0</v>
      </c>
      <c r="G72">
        <f>IF(B72=1,$F$67,$F$38*(1+Dynamic!$E$30)^(SUMIFS($E$67:$E$86,$B$67:$B$86,B72,$C$67:$C$86,1)-2021)+IF(SUMIFS($E$67:$E$86,$B$67:$B$86,B72,$C$67:$C$86,1)&gt;2030,Dynamic!$G$24,SUMIFS(Dynamic!$G$15:$G$24,Dynamic!$C$15:$C$24,SUMIFS($E$67:$E$86,$B$67:$B$86,B72,$C$67:$C$86,1))+VLOOKUP(SUMIFS($E$67:$E$86,$B$67:$B$86,B72,$C$67:$C$86,1),Dynamic!$C$68:$H$96,6)))*IF(C72&gt;10,Parameters!$D$93/(FC_age-10),INDEX(Parameters!$D$83:$D$92,C72))</f>
        <v>27342.798475962671</v>
      </c>
      <c r="H72" s="92">
        <f>'Input-Output Module'!$E$78</f>
        <v>24016.249497649605</v>
      </c>
      <c r="I72" s="92">
        <f>Calculatie!$D$57*(Calculatie!$D$74*(1+Dynamic!$D$26)^'Breakeven analyse'!D72)</f>
        <v>65354.48662602307</v>
      </c>
      <c r="J72" s="92">
        <f>'Input-Output Module'!$E$87+'Input-Output Module'!$E$88+'Input-Output Module'!$E$89+'Input-Output Module'!$E$90</f>
        <v>11166.732839999999</v>
      </c>
      <c r="K72" s="92">
        <f>'Input-Output Module'!$E$91</f>
        <v>0</v>
      </c>
      <c r="L72" s="92">
        <f>'Input-Output Module'!$E$92</f>
        <v>0</v>
      </c>
      <c r="M72" s="92">
        <f>'Input-Output Module'!$E$93</f>
        <v>0</v>
      </c>
      <c r="N72" s="92">
        <f>'Input-Output Module'!$E$94</f>
        <v>399.10124999999999</v>
      </c>
      <c r="O72" s="92">
        <v>0</v>
      </c>
      <c r="P72" s="92">
        <v>0</v>
      </c>
      <c r="Q72" s="92">
        <f t="shared" si="10"/>
        <v>128279.36868963535</v>
      </c>
      <c r="R72" s="92">
        <f t="shared" si="11"/>
        <v>100936.57021367268</v>
      </c>
      <c r="S72" t="b">
        <f t="shared" si="12"/>
        <v>0</v>
      </c>
    </row>
    <row r="73" spans="1:21" x14ac:dyDescent="0.15">
      <c r="A73" t="s">
        <v>578</v>
      </c>
      <c r="B73">
        <f t="shared" si="9"/>
        <v>1</v>
      </c>
      <c r="C73">
        <f>COUNTIF($B$67:B73,B73)</f>
        <v>7</v>
      </c>
      <c r="D73">
        <v>6</v>
      </c>
      <c r="E73" s="89">
        <f t="shared" si="13"/>
        <v>2036</v>
      </c>
      <c r="F73">
        <f>IF(C73=1,$F$38*(1+Dynamic!$E$30)^('Breakeven analyse'!D73)-$F$38*(1+Dynamic!$E$30)^('Breakeven analyse'!D73-EV_age)*(IF(EV_age&gt;10,10%,VLOOKUP(FC_age,Parameters!$A$83:$D$92,2)))+IF('Breakeven analyse'!E73&gt;2030,Dynamic!$F$24,SUMIFS(Dynamic!$F$15:$F$24,Dynamic!$C$15:$C$24,'Breakeven analyse'!E73))-IF('Breakeven analyse'!E73-FC_age&gt;2030,Dynamic!$F$24,SUMIFS(Dynamic!$F$15:$F$24,Dynamic!$C$15:$C$24,'Breakeven analyse'!E73-FC_age))*(IF(FC_age&gt;10,10%,VLOOKUP(FC_age,Parameters!$A$83:$D$92,2))),0)</f>
        <v>0</v>
      </c>
      <c r="G73">
        <f>IF(B73=1,$F$67,$F$38*(1+Dynamic!$E$30)^(SUMIFS($E$67:$E$86,$B$67:$B$86,B73,$C$67:$C$86,1)-2021)+IF(SUMIFS($E$67:$E$86,$B$67:$B$86,B73,$C$67:$C$86,1)&gt;2030,Dynamic!$G$24,SUMIFS(Dynamic!$G$15:$G$24,Dynamic!$C$15:$C$24,SUMIFS($E$67:$E$86,$B$67:$B$86,B73,$C$67:$C$86,1))+VLOOKUP(SUMIFS($E$67:$E$86,$B$67:$B$86,B73,$C$67:$C$86,1),Dynamic!$C$68:$H$96,6)))*IF(C73&gt;10,Parameters!$D$93/(FC_age-10),INDEX(Parameters!$D$83:$D$92,C73))</f>
        <v>22169.633855627966</v>
      </c>
      <c r="H73" s="92">
        <f>'Input-Output Module'!$E$78</f>
        <v>24016.249497649605</v>
      </c>
      <c r="I73" s="92">
        <f>Calculatie!$D$57*(Calculatie!$D$74*(1+Dynamic!$D$26)^'Breakeven analyse'!D73)</f>
        <v>66008.031492283306</v>
      </c>
      <c r="J73" s="92">
        <f>'Input-Output Module'!$E$87+'Input-Output Module'!$E$88+'Input-Output Module'!$E$89+'Input-Output Module'!$E$90</f>
        <v>11166.732839999999</v>
      </c>
      <c r="K73" s="92">
        <f>'Input-Output Module'!$E$91</f>
        <v>0</v>
      </c>
      <c r="L73" s="92">
        <f>'Input-Output Module'!$E$92</f>
        <v>0</v>
      </c>
      <c r="M73" s="92">
        <f>'Input-Output Module'!$E$93</f>
        <v>0</v>
      </c>
      <c r="N73" s="92">
        <f>'Input-Output Module'!$E$94</f>
        <v>399.10124999999999</v>
      </c>
      <c r="O73" s="92">
        <v>0</v>
      </c>
      <c r="P73" s="92">
        <v>0</v>
      </c>
      <c r="Q73" s="92">
        <f t="shared" si="10"/>
        <v>123759.74893556089</v>
      </c>
      <c r="R73" s="92">
        <f t="shared" si="11"/>
        <v>101590.11507993292</v>
      </c>
      <c r="S73" t="b">
        <f t="shared" si="12"/>
        <v>0</v>
      </c>
      <c r="T73" s="99">
        <f>I72/I71</f>
        <v>1.01</v>
      </c>
    </row>
    <row r="74" spans="1:21" x14ac:dyDescent="0.15">
      <c r="A74" t="s">
        <v>578</v>
      </c>
      <c r="B74">
        <f t="shared" si="9"/>
        <v>2</v>
      </c>
      <c r="C74">
        <f>COUNTIF($B$67:B74,B74)</f>
        <v>1</v>
      </c>
      <c r="D74">
        <v>7</v>
      </c>
      <c r="E74" s="89">
        <f t="shared" si="13"/>
        <v>2037</v>
      </c>
      <c r="F74">
        <f>IF(C74=1,$F$38*(1+Dynamic!$E$30)^('Breakeven analyse'!D74)-$F$38*(1+Dynamic!$E$30)^('Breakeven analyse'!D74-EV_age)*(IF(EV_age&gt;10,10%,VLOOKUP(FC_age,Parameters!$A$83:$D$92,2)))+IF('Breakeven analyse'!E74&gt;2030,Dynamic!$F$24,SUMIFS(Dynamic!$F$15:$F$24,Dynamic!$C$15:$C$24,'Breakeven analyse'!E74))-IF('Breakeven analyse'!E74-FC_age&gt;2030,Dynamic!$F$24,SUMIFS(Dynamic!$F$15:$F$24,Dynamic!$C$15:$C$24,'Breakeven analyse'!E74-FC_age))*(IF(FC_age&gt;10,10%,VLOOKUP(FC_age,Parameters!$A$83:$D$92,2))),0)</f>
        <v>176261.40916971743</v>
      </c>
      <c r="G74">
        <f>IF(B74=1,$F$67,$F$38*(1+Dynamic!$E$30)^(SUMIFS($E$67:$E$86,$B$67:$B$86,B74,$C$67:$C$86,1)-2021)+IF(SUMIFS($E$67:$E$86,$B$67:$B$86,B74,$C$67:$C$86,1)&gt;2030,Dynamic!$G$24,SUMIFS(Dynamic!$G$15:$G$24,Dynamic!$C$15:$C$24,SUMIFS($E$67:$E$86,$B$67:$B$86,B74,$C$67:$C$86,1))+VLOOKUP(SUMIFS($E$67:$E$86,$B$67:$B$86,B74,$C$67:$C$86,1),Dynamic!$C$68:$H$96,6)))*IF(C74&gt;10,Parameters!$D$93/(FC_age-10),INDEX(Parameters!$D$83:$D$92,C74))</f>
        <v>39674.334646525909</v>
      </c>
      <c r="H74" s="92">
        <f>'Input-Output Module'!$E$78</f>
        <v>24016.249497649605</v>
      </c>
      <c r="I74" s="92">
        <f>Calculatie!$D$57*(Calculatie!$D$74*(1+Dynamic!$D$26)^'Breakeven analyse'!D74)</f>
        <v>66668.111807206122</v>
      </c>
      <c r="J74" s="92">
        <f>'Input-Output Module'!$E$87+'Input-Output Module'!$E$88+'Input-Output Module'!$E$89+'Input-Output Module'!$E$90</f>
        <v>11166.732839999999</v>
      </c>
      <c r="K74" s="92">
        <f>'Input-Output Module'!$E$91</f>
        <v>0</v>
      </c>
      <c r="L74" s="92">
        <f>'Input-Output Module'!$E$92</f>
        <v>0</v>
      </c>
      <c r="M74" s="92">
        <f>'Input-Output Module'!$E$93</f>
        <v>0</v>
      </c>
      <c r="N74" s="92">
        <f>'Input-Output Module'!$E$94</f>
        <v>399.10124999999999</v>
      </c>
      <c r="O74" s="92">
        <v>0</v>
      </c>
      <c r="P74" s="92">
        <v>0</v>
      </c>
      <c r="Q74" s="92">
        <f t="shared" si="10"/>
        <v>141924.53004138166</v>
      </c>
      <c r="R74" s="92">
        <f t="shared" si="11"/>
        <v>102250.19539485573</v>
      </c>
      <c r="S74" t="b">
        <f t="shared" si="12"/>
        <v>0</v>
      </c>
    </row>
    <row r="75" spans="1:21" x14ac:dyDescent="0.15">
      <c r="A75" t="s">
        <v>578</v>
      </c>
      <c r="B75">
        <f t="shared" si="9"/>
        <v>2</v>
      </c>
      <c r="C75">
        <f>COUNTIF($B$67:B75,B75)</f>
        <v>2</v>
      </c>
      <c r="D75">
        <v>8</v>
      </c>
      <c r="E75" s="89">
        <f t="shared" si="13"/>
        <v>2038</v>
      </c>
      <c r="F75">
        <f>IF(C75=1,$F$38*(1+Dynamic!$E$30)^('Breakeven analyse'!D75)-$F$38*(1+Dynamic!$E$30)^('Breakeven analyse'!D75-EV_age)*(IF(EV_age&gt;10,10%,VLOOKUP(FC_age,Parameters!$A$83:$D$92,2)))+IF('Breakeven analyse'!E75&gt;2030,Dynamic!$F$24,SUMIFS(Dynamic!$F$15:$F$24,Dynamic!$C$15:$C$24,'Breakeven analyse'!E75))-IF('Breakeven analyse'!E75-FC_age&gt;2030,Dynamic!$F$24,SUMIFS(Dynamic!$F$15:$F$24,Dynamic!$C$15:$C$24,'Breakeven analyse'!E75-FC_age))*(IF(FC_age&gt;10,10%,VLOOKUP(FC_age,Parameters!$A$83:$D$92,2))),0)</f>
        <v>0</v>
      </c>
      <c r="G75">
        <f>IF(B75=1,$F$67,$F$38*(1+Dynamic!$E$30)^(SUMIFS($E$67:$E$86,$B$67:$B$86,B75,$C$67:$C$86,1)-2021)+IF(SUMIFS($E$67:$E$86,$B$67:$B$86,B75,$C$67:$C$86,1)&gt;2030,Dynamic!$G$24,SUMIFS(Dynamic!$G$15:$G$24,Dynamic!$C$15:$C$24,SUMIFS($E$67:$E$86,$B$67:$B$86,B75,$C$67:$C$86,1))+VLOOKUP(SUMIFS($E$67:$E$86,$B$67:$B$86,B75,$C$67:$C$86,1),Dynamic!$C$68:$H$96,6)))*IF(C75&gt;10,Parameters!$D$93/(FC_age-10),INDEX(Parameters!$D$83:$D$92,C75))</f>
        <v>32722.334681884829</v>
      </c>
      <c r="H75" s="92">
        <f>'Input-Output Module'!$E$78</f>
        <v>24016.249497649605</v>
      </c>
      <c r="I75" s="92">
        <f>Calculatie!$D$57*(Calculatie!$D$74*(1+Dynamic!$D$26)^'Breakeven analyse'!D75)</f>
        <v>67334.792925278205</v>
      </c>
      <c r="J75" s="92">
        <f>'Input-Output Module'!$E$87+'Input-Output Module'!$E$88+'Input-Output Module'!$E$89+'Input-Output Module'!$E$90</f>
        <v>11166.732839999999</v>
      </c>
      <c r="K75" s="92">
        <f>'Input-Output Module'!$E$91</f>
        <v>0</v>
      </c>
      <c r="L75" s="92">
        <f>'Input-Output Module'!$E$92</f>
        <v>0</v>
      </c>
      <c r="M75" s="92">
        <f>'Input-Output Module'!$E$93</f>
        <v>0</v>
      </c>
      <c r="N75" s="92">
        <f>'Input-Output Module'!$E$94</f>
        <v>399.10124999999999</v>
      </c>
      <c r="O75" s="92">
        <v>0</v>
      </c>
      <c r="P75" s="92">
        <v>0</v>
      </c>
      <c r="Q75" s="92">
        <f t="shared" si="10"/>
        <v>135639.21119481264</v>
      </c>
      <c r="R75" s="92">
        <f t="shared" si="11"/>
        <v>102916.87651292782</v>
      </c>
      <c r="S75" t="b">
        <f t="shared" si="12"/>
        <v>0</v>
      </c>
    </row>
    <row r="76" spans="1:21" x14ac:dyDescent="0.15">
      <c r="A76" t="s">
        <v>578</v>
      </c>
      <c r="B76">
        <f t="shared" si="9"/>
        <v>2</v>
      </c>
      <c r="C76">
        <f>COUNTIF($B$67:B76,B76)</f>
        <v>3</v>
      </c>
      <c r="D76">
        <v>9</v>
      </c>
      <c r="E76" s="89">
        <f t="shared" si="13"/>
        <v>2039</v>
      </c>
      <c r="F76">
        <f>IF(C76=1,$F$38*(1+Dynamic!$E$30)^('Breakeven analyse'!D76)-$F$38*(1+Dynamic!$E$30)^('Breakeven analyse'!D76-EV_age)*(IF(EV_age&gt;10,10%,VLOOKUP(FC_age,Parameters!$A$83:$D$92,2)))+IF('Breakeven analyse'!E76&gt;2030,Dynamic!$F$24,SUMIFS(Dynamic!$F$15:$F$24,Dynamic!$C$15:$C$24,'Breakeven analyse'!E76))-IF('Breakeven analyse'!E76-FC_age&gt;2030,Dynamic!$F$24,SUMIFS(Dynamic!$F$15:$F$24,Dynamic!$C$15:$C$24,'Breakeven analyse'!E76-FC_age))*(IF(FC_age&gt;10,10%,VLOOKUP(FC_age,Parameters!$A$83:$D$92,2))),0)</f>
        <v>0</v>
      </c>
      <c r="G76">
        <f>IF(B76=1,$F$67,$F$38*(1+Dynamic!$E$30)^(SUMIFS($E$67:$E$86,$B$67:$B$86,B76,$C$67:$C$86,1)-2021)+IF(SUMIFS($E$67:$E$86,$B$67:$B$86,B76,$C$67:$C$86,1)&gt;2030,Dynamic!$G$24,SUMIFS(Dynamic!$G$15:$G$24,Dynamic!$C$15:$C$24,SUMIFS($E$67:$E$86,$B$67:$B$86,B76,$C$67:$C$86,1))+VLOOKUP(SUMIFS($E$67:$E$86,$B$67:$B$86,B76,$C$67:$C$86,1),Dynamic!$C$68:$H$96,6)))*IF(C76&gt;10,Parameters!$D$93/(FC_age-10),INDEX(Parameters!$D$83:$D$92,C76))</f>
        <v>26531.380079345076</v>
      </c>
      <c r="H76" s="92">
        <f>'Input-Output Module'!$E$78</f>
        <v>24016.249497649605</v>
      </c>
      <c r="I76" s="92">
        <f>Calculatie!$D$57*(Calculatie!$D$74*(1+Dynamic!$D$26)^'Breakeven analyse'!D76)</f>
        <v>68008.140854530982</v>
      </c>
      <c r="J76" s="92">
        <f>'Input-Output Module'!$E$87+'Input-Output Module'!$E$88+'Input-Output Module'!$E$89+'Input-Output Module'!$E$90</f>
        <v>11166.732839999999</v>
      </c>
      <c r="K76" s="92">
        <f>'Input-Output Module'!$E$91</f>
        <v>0</v>
      </c>
      <c r="L76" s="92">
        <f>'Input-Output Module'!$E$92</f>
        <v>0</v>
      </c>
      <c r="M76" s="92">
        <f>'Input-Output Module'!$E$93</f>
        <v>0</v>
      </c>
      <c r="N76" s="92">
        <f>'Input-Output Module'!$E$94</f>
        <v>399.10124999999999</v>
      </c>
      <c r="O76" s="92">
        <v>0</v>
      </c>
      <c r="P76" s="92">
        <v>0</v>
      </c>
      <c r="Q76" s="92">
        <f t="shared" si="10"/>
        <v>130121.60452152566</v>
      </c>
      <c r="R76" s="92">
        <f t="shared" si="11"/>
        <v>103590.2244421806</v>
      </c>
      <c r="S76" t="b">
        <f t="shared" si="12"/>
        <v>0</v>
      </c>
    </row>
    <row r="77" spans="1:21" x14ac:dyDescent="0.15">
      <c r="A77" t="s">
        <v>578</v>
      </c>
      <c r="B77">
        <f t="shared" si="9"/>
        <v>2</v>
      </c>
      <c r="C77">
        <f>COUNTIF($B$67:B77,B77)</f>
        <v>4</v>
      </c>
      <c r="D77">
        <v>10</v>
      </c>
      <c r="E77" s="89">
        <f t="shared" si="13"/>
        <v>2040</v>
      </c>
      <c r="F77">
        <f>IF(C77=1,$F$38*(1+Dynamic!$E$30)^('Breakeven analyse'!D77)-$F$38*(1+Dynamic!$E$30)^('Breakeven analyse'!D77-EV_age)*(IF(EV_age&gt;10,10%,VLOOKUP(FC_age,Parameters!$A$83:$D$92,2)))+IF('Breakeven analyse'!E77&gt;2030,Dynamic!$F$24,SUMIFS(Dynamic!$F$15:$F$24,Dynamic!$C$15:$C$24,'Breakeven analyse'!E77))-IF('Breakeven analyse'!E77-FC_age&gt;2030,Dynamic!$F$24,SUMIFS(Dynamic!$F$15:$F$24,Dynamic!$C$15:$C$24,'Breakeven analyse'!E77-FC_age))*(IF(FC_age&gt;10,10%,VLOOKUP(FC_age,Parameters!$A$83:$D$92,2))),0)</f>
        <v>0</v>
      </c>
      <c r="G77">
        <f>IF(B77=1,$F$67,$F$38*(1+Dynamic!$E$30)^(SUMIFS($E$67:$E$86,$B$67:$B$86,B77,$C$67:$C$86,1)-2021)+IF(SUMIFS($E$67:$E$86,$B$67:$B$86,B77,$C$67:$C$86,1)&gt;2030,Dynamic!$G$24,SUMIFS(Dynamic!$G$15:$G$24,Dynamic!$C$15:$C$24,SUMIFS($E$67:$E$86,$B$67:$B$86,B77,$C$67:$C$86,1))+VLOOKUP(SUMIFS($E$67:$E$86,$B$67:$B$86,B77,$C$67:$C$86,1),Dynamic!$C$68:$H$96,6)))*IF(C77&gt;10,Parameters!$D$93/(FC_age-10),INDEX(Parameters!$D$83:$D$92,C77))</f>
        <v>21511.733064216725</v>
      </c>
      <c r="H77" s="92">
        <f>'Input-Output Module'!$E$78</f>
        <v>24016.249497649605</v>
      </c>
      <c r="I77" s="92">
        <f>Calculatie!$D$57*(Calculatie!$D$74*(1+Dynamic!$D$26)^'Breakeven analyse'!D77)</f>
        <v>68688.222263076299</v>
      </c>
      <c r="J77" s="92">
        <f>'Input-Output Module'!$E$87+'Input-Output Module'!$E$88+'Input-Output Module'!$E$89+'Input-Output Module'!$E$90</f>
        <v>11166.732839999999</v>
      </c>
      <c r="K77" s="92">
        <f>'Input-Output Module'!$E$91</f>
        <v>0</v>
      </c>
      <c r="L77" s="92">
        <f>'Input-Output Module'!$E$92</f>
        <v>0</v>
      </c>
      <c r="M77" s="92">
        <f>'Input-Output Module'!$E$93</f>
        <v>0</v>
      </c>
      <c r="N77" s="92">
        <f>'Input-Output Module'!$E$94</f>
        <v>399.10124999999999</v>
      </c>
      <c r="O77" s="92">
        <v>0</v>
      </c>
      <c r="P77" s="92">
        <v>0</v>
      </c>
      <c r="Q77" s="92">
        <f t="shared" si="10"/>
        <v>125782.03891494263</v>
      </c>
      <c r="R77" s="92">
        <f t="shared" si="11"/>
        <v>104270.30585072591</v>
      </c>
      <c r="S77" t="b">
        <f t="shared" si="12"/>
        <v>0</v>
      </c>
    </row>
    <row r="78" spans="1:21" x14ac:dyDescent="0.15">
      <c r="A78" t="s">
        <v>578</v>
      </c>
      <c r="B78">
        <f t="shared" si="9"/>
        <v>2</v>
      </c>
      <c r="C78">
        <f>COUNTIF($B$67:B78,B78)</f>
        <v>5</v>
      </c>
      <c r="D78">
        <v>11</v>
      </c>
      <c r="E78" s="89">
        <f t="shared" si="13"/>
        <v>2041</v>
      </c>
      <c r="F78">
        <f>IF(C78=1,$F$38*(1+Dynamic!$E$30)^('Breakeven analyse'!D78)-$F$38*(1+Dynamic!$E$30)^('Breakeven analyse'!D78-EV_age)*(IF(EV_age&gt;10,10%,VLOOKUP(FC_age,Parameters!$A$83:$D$92,2)))+IF('Breakeven analyse'!E78&gt;2030,Dynamic!$F$24,SUMIFS(Dynamic!$F$15:$F$24,Dynamic!$C$15:$C$24,'Breakeven analyse'!E78))-IF('Breakeven analyse'!E78-FC_age&gt;2030,Dynamic!$F$24,SUMIFS(Dynamic!$F$15:$F$24,Dynamic!$C$15:$C$24,'Breakeven analyse'!E78-FC_age))*(IF(FC_age&gt;10,10%,VLOOKUP(FC_age,Parameters!$A$83:$D$92,2))),0)</f>
        <v>0</v>
      </c>
      <c r="G78">
        <f>IF(B78=1,$F$67,$F$38*(1+Dynamic!$E$30)^(SUMIFS($E$67:$E$86,$B$67:$B$86,B78,$C$67:$C$86,1)-2021)+IF(SUMIFS($E$67:$E$86,$B$67:$B$86,B78,$C$67:$C$86,1)&gt;2030,Dynamic!$G$24,SUMIFS(Dynamic!$G$15:$G$24,Dynamic!$C$15:$C$24,SUMIFS($E$67:$E$86,$B$67:$B$86,B78,$C$67:$C$86,1))+VLOOKUP(SUMIFS($E$67:$E$86,$B$67:$B$86,B78,$C$67:$C$86,1),Dynamic!$C$68:$H$96,6)))*IF(C78&gt;10,Parameters!$D$93/(FC_age-10),INDEX(Parameters!$D$83:$D$92,C78))</f>
        <v>17441.786218515423</v>
      </c>
      <c r="H78" s="92">
        <f>'Input-Output Module'!$E$78</f>
        <v>24016.249497649605</v>
      </c>
      <c r="I78" s="92">
        <f>Calculatie!$D$57*(Calculatie!$D$74*(1+Dynamic!$D$26)^'Breakeven analyse'!D78)</f>
        <v>69375.104485707052</v>
      </c>
      <c r="J78" s="92">
        <f>'Input-Output Module'!$E$87+'Input-Output Module'!$E$88+'Input-Output Module'!$E$89+'Input-Output Module'!$E$90</f>
        <v>11166.732839999999</v>
      </c>
      <c r="K78" s="92">
        <f>'Input-Output Module'!$E$91</f>
        <v>0</v>
      </c>
      <c r="L78" s="92">
        <f>'Input-Output Module'!$E$92</f>
        <v>0</v>
      </c>
      <c r="M78" s="92">
        <f>'Input-Output Module'!$E$93</f>
        <v>0</v>
      </c>
      <c r="N78" s="92">
        <f>'Input-Output Module'!$E$94</f>
        <v>399.10124999999999</v>
      </c>
      <c r="O78" s="92">
        <v>0</v>
      </c>
      <c r="P78" s="92">
        <v>0</v>
      </c>
      <c r="Q78" s="92">
        <f t="shared" si="10"/>
        <v>122398.97429187209</v>
      </c>
      <c r="R78" s="92">
        <f t="shared" si="11"/>
        <v>104957.18807335666</v>
      </c>
      <c r="S78" t="b">
        <f t="shared" si="12"/>
        <v>0</v>
      </c>
    </row>
    <row r="79" spans="1:21" x14ac:dyDescent="0.15">
      <c r="A79" t="s">
        <v>578</v>
      </c>
      <c r="B79">
        <f t="shared" si="9"/>
        <v>2</v>
      </c>
      <c r="C79">
        <f>COUNTIF($B$67:B79,B79)</f>
        <v>6</v>
      </c>
      <c r="D79">
        <v>12</v>
      </c>
      <c r="E79" s="89">
        <f t="shared" si="13"/>
        <v>2042</v>
      </c>
      <c r="F79">
        <f>IF(C79=1,$F$38*(1+Dynamic!$E$30)^('Breakeven analyse'!D79)-$F$38*(1+Dynamic!$E$30)^('Breakeven analyse'!D79-EV_age)*(IF(EV_age&gt;10,10%,VLOOKUP(FC_age,Parameters!$A$83:$D$92,2)))+IF('Breakeven analyse'!E79&gt;2030,Dynamic!$F$24,SUMIFS(Dynamic!$F$15:$F$24,Dynamic!$C$15:$C$24,'Breakeven analyse'!E79))-IF('Breakeven analyse'!E79-FC_age&gt;2030,Dynamic!$F$24,SUMIFS(Dynamic!$F$15:$F$24,Dynamic!$C$15:$C$24,'Breakeven analyse'!E79-FC_age))*(IF(FC_age&gt;10,10%,VLOOKUP(FC_age,Parameters!$A$83:$D$92,2))),0)</f>
        <v>0</v>
      </c>
      <c r="G79">
        <f>IF(B79=1,$F$67,$F$38*(1+Dynamic!$E$30)^(SUMIFS($E$67:$E$86,$B$67:$B$86,B79,$C$67:$C$86,1)-2021)+IF(SUMIFS($E$67:$E$86,$B$67:$B$86,B79,$C$67:$C$86,1)&gt;2030,Dynamic!$G$24,SUMIFS(Dynamic!$G$15:$G$24,Dynamic!$C$15:$C$24,SUMIFS($E$67:$E$86,$B$67:$B$86,B79,$C$67:$C$86,1))+VLOOKUP(SUMIFS($E$67:$E$86,$B$67:$B$86,B79,$C$67:$C$86,1),Dynamic!$C$68:$H$96,6)))*IF(C79&gt;10,Parameters!$D$93/(FC_age-10),INDEX(Parameters!$D$83:$D$92,C79))</f>
        <v>14141.859495199677</v>
      </c>
      <c r="H79" s="92">
        <f>'Input-Output Module'!$E$78</f>
        <v>24016.249497649605</v>
      </c>
      <c r="I79" s="92">
        <f>Calculatie!$D$57*(Calculatie!$D$74*(1+Dynamic!$D$26)^'Breakeven analyse'!D79)</f>
        <v>70068.85553056412</v>
      </c>
      <c r="J79" s="92">
        <f>'Input-Output Module'!$E$87+'Input-Output Module'!$E$88+'Input-Output Module'!$E$89+'Input-Output Module'!$E$90</f>
        <v>11166.732839999999</v>
      </c>
      <c r="K79" s="92">
        <f>'Input-Output Module'!$E$91</f>
        <v>0</v>
      </c>
      <c r="L79" s="92">
        <f>'Input-Output Module'!$E$92</f>
        <v>0</v>
      </c>
      <c r="M79" s="92">
        <f>'Input-Output Module'!$E$93</f>
        <v>0</v>
      </c>
      <c r="N79" s="92">
        <f>'Input-Output Module'!$E$94</f>
        <v>399.10124999999999</v>
      </c>
      <c r="O79" s="92">
        <v>0</v>
      </c>
      <c r="P79" s="92">
        <v>0</v>
      </c>
      <c r="Q79" s="92">
        <f t="shared" si="10"/>
        <v>119792.7986134134</v>
      </c>
      <c r="R79" s="92">
        <f t="shared" si="11"/>
        <v>105650.93911821373</v>
      </c>
      <c r="S79" t="b">
        <f t="shared" si="12"/>
        <v>0</v>
      </c>
    </row>
    <row r="80" spans="1:21" x14ac:dyDescent="0.15">
      <c r="A80" t="s">
        <v>578</v>
      </c>
      <c r="B80">
        <f t="shared" si="9"/>
        <v>2</v>
      </c>
      <c r="C80">
        <f>COUNTIF($B$67:B80,B80)</f>
        <v>7</v>
      </c>
      <c r="D80">
        <v>13</v>
      </c>
      <c r="E80" s="89">
        <f t="shared" si="13"/>
        <v>2043</v>
      </c>
      <c r="F80">
        <f>IF(C80=1,$F$38*(1+Dynamic!$E$30)^('Breakeven analyse'!D80)-$F$38*(1+Dynamic!$E$30)^('Breakeven analyse'!D80-EV_age)*(IF(EV_age&gt;10,10%,VLOOKUP(FC_age,Parameters!$A$83:$D$92,2)))+IF('Breakeven analyse'!E80&gt;2030,Dynamic!$F$24,SUMIFS(Dynamic!$F$15:$F$24,Dynamic!$C$15:$C$24,'Breakeven analyse'!E80))-IF('Breakeven analyse'!E80-FC_age&gt;2030,Dynamic!$F$24,SUMIFS(Dynamic!$F$15:$F$24,Dynamic!$C$15:$C$24,'Breakeven analyse'!E80-FC_age))*(IF(FC_age&gt;10,10%,VLOOKUP(FC_age,Parameters!$A$83:$D$92,2))),0)</f>
        <v>0</v>
      </c>
      <c r="G80">
        <f>IF(B80=1,$F$67,$F$38*(1+Dynamic!$E$30)^(SUMIFS($E$67:$E$86,$B$67:$B$86,B80,$C$67:$C$86,1)-2021)+IF(SUMIFS($E$67:$E$86,$B$67:$B$86,B80,$C$67:$C$86,1)&gt;2030,Dynamic!$G$24,SUMIFS(Dynamic!$G$15:$G$24,Dynamic!$C$15:$C$24,SUMIFS($E$67:$E$86,$B$67:$B$86,B80,$C$67:$C$86,1))+VLOOKUP(SUMIFS($E$67:$E$86,$B$67:$B$86,B80,$C$67:$C$86,1),Dynamic!$C$68:$H$96,6)))*IF(C80&gt;10,Parameters!$D$93/(FC_age-10),INDEX(Parameters!$D$83:$D$92,C80))</f>
        <v>11466.267701966608</v>
      </c>
      <c r="H80" s="92">
        <f>'Input-Output Module'!$E$78</f>
        <v>24016.249497649605</v>
      </c>
      <c r="I80" s="92">
        <f>Calculatie!$D$57*(Calculatie!$D$74*(1+Dynamic!$D$26)^'Breakeven analyse'!D80)</f>
        <v>70769.544085869769</v>
      </c>
      <c r="J80" s="92">
        <f>'Input-Output Module'!$E$87+'Input-Output Module'!$E$88+'Input-Output Module'!$E$89+'Input-Output Module'!$E$90</f>
        <v>11166.732839999999</v>
      </c>
      <c r="K80" s="92">
        <f>'Input-Output Module'!$E$91</f>
        <v>0</v>
      </c>
      <c r="L80" s="92">
        <f>'Input-Output Module'!$E$92</f>
        <v>0</v>
      </c>
      <c r="M80" s="92">
        <f>'Input-Output Module'!$E$93</f>
        <v>0</v>
      </c>
      <c r="N80" s="92">
        <f>'Input-Output Module'!$E$94</f>
        <v>399.10124999999999</v>
      </c>
      <c r="O80" s="92">
        <v>0</v>
      </c>
      <c r="P80" s="92">
        <v>0</v>
      </c>
      <c r="Q80" s="92">
        <f t="shared" si="10"/>
        <v>117817.89537548598</v>
      </c>
      <c r="R80" s="92">
        <f t="shared" si="11"/>
        <v>106351.62767351938</v>
      </c>
      <c r="S80" t="b">
        <f t="shared" si="12"/>
        <v>0</v>
      </c>
    </row>
    <row r="81" spans="1:19" x14ac:dyDescent="0.15">
      <c r="A81" t="s">
        <v>578</v>
      </c>
      <c r="B81">
        <f t="shared" si="9"/>
        <v>3</v>
      </c>
      <c r="C81">
        <f>COUNTIF($B$67:B81,B81)</f>
        <v>1</v>
      </c>
      <c r="D81">
        <v>14</v>
      </c>
      <c r="E81" s="89">
        <f t="shared" si="13"/>
        <v>2044</v>
      </c>
      <c r="F81">
        <f>IF(C81=1,$F$38*(1+Dynamic!$E$30)^('Breakeven analyse'!D81)-$F$38*(1+Dynamic!$E$30)^('Breakeven analyse'!D81-EV_age)*(IF(EV_age&gt;10,10%,VLOOKUP(FC_age,Parameters!$A$83:$D$92,2)))+IF('Breakeven analyse'!E81&gt;2030,Dynamic!$F$24,SUMIFS(Dynamic!$F$15:$F$24,Dynamic!$C$15:$C$24,'Breakeven analyse'!E81))-IF('Breakeven analyse'!E81-FC_age&gt;2030,Dynamic!$F$24,SUMIFS(Dynamic!$F$15:$F$24,Dynamic!$C$15:$C$24,'Breakeven analyse'!E81-FC_age))*(IF(FC_age&gt;10,10%,VLOOKUP(FC_age,Parameters!$A$83:$D$92,2))),0)</f>
        <v>191180.00644251925</v>
      </c>
      <c r="G81">
        <f>IF(B81=1,$F$67,$F$38*(1+Dynamic!$E$30)^(SUMIFS($E$67:$E$86,$B$67:$B$86,B81,$C$67:$C$86,1)-2021)+IF(SUMIFS($E$67:$E$86,$B$67:$B$86,B81,$C$67:$C$86,1)&gt;2030,Dynamic!$G$24,SUMIFS(Dynamic!$G$15:$G$24,Dynamic!$C$15:$C$24,SUMIFS($E$67:$E$86,$B$67:$B$86,B81,$C$67:$C$86,1))+VLOOKUP(SUMIFS($E$67:$E$86,$B$67:$B$86,B81,$C$67:$C$86,1),Dynamic!$C$68:$H$96,6)))*IF(C81&gt;10,Parameters!$D$93/(FC_age-10),INDEX(Parameters!$D$83:$D$92,C81))</f>
        <v>43412.867713530191</v>
      </c>
      <c r="H81" s="92">
        <f>'Input-Output Module'!$E$78</f>
        <v>24016.249497649605</v>
      </c>
      <c r="I81" s="92">
        <f>Calculatie!$D$57*(Calculatie!$D$74*(1+Dynamic!$D$26)^'Breakeven analyse'!D81)</f>
        <v>71477.239526728474</v>
      </c>
      <c r="J81" s="92">
        <f>'Input-Output Module'!$E$87+'Input-Output Module'!$E$88+'Input-Output Module'!$E$89+'Input-Output Module'!$E$90</f>
        <v>11166.732839999999</v>
      </c>
      <c r="K81" s="92">
        <f>'Input-Output Module'!$E$91</f>
        <v>0</v>
      </c>
      <c r="L81" s="92">
        <f>'Input-Output Module'!$E$92</f>
        <v>0</v>
      </c>
      <c r="M81" s="92">
        <f>'Input-Output Module'!$E$93</f>
        <v>0</v>
      </c>
      <c r="N81" s="92">
        <f>'Input-Output Module'!$E$94</f>
        <v>399.10124999999999</v>
      </c>
      <c r="O81" s="92">
        <v>0</v>
      </c>
      <c r="P81" s="92">
        <v>0</v>
      </c>
      <c r="Q81" s="92">
        <f t="shared" si="10"/>
        <v>150472.19082790829</v>
      </c>
      <c r="R81" s="92">
        <f t="shared" si="11"/>
        <v>107059.32311437809</v>
      </c>
      <c r="S81" t="b">
        <f t="shared" si="12"/>
        <v>0</v>
      </c>
    </row>
    <row r="82" spans="1:19" x14ac:dyDescent="0.15">
      <c r="A82" t="s">
        <v>578</v>
      </c>
      <c r="B82">
        <f t="shared" si="9"/>
        <v>3</v>
      </c>
      <c r="C82">
        <f>COUNTIF($B$67:B82,B82)</f>
        <v>2</v>
      </c>
      <c r="D82">
        <v>15</v>
      </c>
      <c r="E82" s="89">
        <f t="shared" si="13"/>
        <v>2045</v>
      </c>
      <c r="F82">
        <f>IF(C82=1,$F$38*(1+Dynamic!$E$30)^('Breakeven analyse'!D82)-$F$38*(1+Dynamic!$E$30)^('Breakeven analyse'!D82-EV_age)*(IF(EV_age&gt;10,10%,VLOOKUP(FC_age,Parameters!$A$83:$D$92,2)))+IF('Breakeven analyse'!E82&gt;2030,Dynamic!$F$24,SUMIFS(Dynamic!$F$15:$F$24,Dynamic!$C$15:$C$24,'Breakeven analyse'!E82))-IF('Breakeven analyse'!E82-FC_age&gt;2030,Dynamic!$F$24,SUMIFS(Dynamic!$F$15:$F$24,Dynamic!$C$15:$C$24,'Breakeven analyse'!E82-FC_age))*(IF(FC_age&gt;10,10%,VLOOKUP(FC_age,Parameters!$A$83:$D$92,2))),0)</f>
        <v>0</v>
      </c>
      <c r="G82">
        <f>IF(B82=1,$F$67,$F$38*(1+Dynamic!$E$30)^(SUMIFS($E$67:$E$86,$B$67:$B$86,B82,$C$67:$C$86,1)-2021)+IF(SUMIFS($E$67:$E$86,$B$67:$B$86,B82,$C$67:$C$86,1)&gt;2030,Dynamic!$G$24,SUMIFS(Dynamic!$G$15:$G$24,Dynamic!$C$15:$C$24,SUMIFS($E$67:$E$86,$B$67:$B$86,B82,$C$67:$C$86,1))+VLOOKUP(SUMIFS($E$67:$E$86,$B$67:$B$86,B82,$C$67:$C$86,1),Dynamic!$C$68:$H$96,6)))*IF(C82&gt;10,Parameters!$D$93/(FC_age-10),INDEX(Parameters!$D$83:$D$92,C82))</f>
        <v>35805.777197751187</v>
      </c>
      <c r="H82" s="92">
        <f>'Input-Output Module'!$E$78</f>
        <v>24016.249497649605</v>
      </c>
      <c r="I82" s="92">
        <f>Calculatie!$D$57*(Calculatie!$D$74*(1+Dynamic!$D$26)^'Breakeven analyse'!D82)</f>
        <v>72192.011921995741</v>
      </c>
      <c r="J82" s="92">
        <f>'Input-Output Module'!$E$87+'Input-Output Module'!$E$88+'Input-Output Module'!$E$89+'Input-Output Module'!$E$90</f>
        <v>11166.732839999999</v>
      </c>
      <c r="K82" s="92">
        <f>'Input-Output Module'!$E$91</f>
        <v>0</v>
      </c>
      <c r="L82" s="92">
        <f>'Input-Output Module'!$E$92</f>
        <v>0</v>
      </c>
      <c r="M82" s="92">
        <f>'Input-Output Module'!$E$93</f>
        <v>0</v>
      </c>
      <c r="N82" s="92">
        <f>'Input-Output Module'!$E$94</f>
        <v>399.10124999999999</v>
      </c>
      <c r="O82" s="92">
        <v>0</v>
      </c>
      <c r="P82" s="92">
        <v>0</v>
      </c>
      <c r="Q82" s="92">
        <f t="shared" si="10"/>
        <v>143579.87270739657</v>
      </c>
      <c r="R82" s="92">
        <f t="shared" si="11"/>
        <v>107774.09550964535</v>
      </c>
      <c r="S82" t="b">
        <f t="shared" si="12"/>
        <v>0</v>
      </c>
    </row>
    <row r="83" spans="1:19" x14ac:dyDescent="0.15">
      <c r="A83" t="s">
        <v>578</v>
      </c>
      <c r="B83">
        <f t="shared" si="9"/>
        <v>3</v>
      </c>
      <c r="C83">
        <f>COUNTIF($B$67:B83,B83)</f>
        <v>3</v>
      </c>
      <c r="D83">
        <v>16</v>
      </c>
      <c r="E83" s="89">
        <f t="shared" si="13"/>
        <v>2046</v>
      </c>
      <c r="F83">
        <f>IF(C83=1,$F$38*(1+Dynamic!$E$30)^('Breakeven analyse'!D83)-$F$38*(1+Dynamic!$E$30)^('Breakeven analyse'!D83-EV_age)*(IF(EV_age&gt;10,10%,VLOOKUP(FC_age,Parameters!$A$83:$D$92,2)))+IF('Breakeven analyse'!E83&gt;2030,Dynamic!$F$24,SUMIFS(Dynamic!$F$15:$F$24,Dynamic!$C$15:$C$24,'Breakeven analyse'!E83))-IF('Breakeven analyse'!E83-FC_age&gt;2030,Dynamic!$F$24,SUMIFS(Dynamic!$F$15:$F$24,Dynamic!$C$15:$C$24,'Breakeven analyse'!E83-FC_age))*(IF(FC_age&gt;10,10%,VLOOKUP(FC_age,Parameters!$A$83:$D$92,2))),0)</f>
        <v>0</v>
      </c>
      <c r="G83">
        <f>IF(B83=1,$F$67,$F$38*(1+Dynamic!$E$30)^(SUMIFS($E$67:$E$86,$B$67:$B$86,B83,$C$67:$C$86,1)-2021)+IF(SUMIFS($E$67:$E$86,$B$67:$B$86,B83,$C$67:$C$86,1)&gt;2030,Dynamic!$G$24,SUMIFS(Dynamic!$G$15:$G$24,Dynamic!$C$15:$C$24,SUMIFS($E$67:$E$86,$B$67:$B$86,B83,$C$67:$C$86,1))+VLOOKUP(SUMIFS($E$67:$E$86,$B$67:$B$86,B83,$C$67:$C$86,1),Dynamic!$C$68:$H$96,6)))*IF(C83&gt;10,Parameters!$D$93/(FC_age-10),INDEX(Parameters!$D$83:$D$92,C83))</f>
        <v>29031.445742036052</v>
      </c>
      <c r="H83" s="92">
        <f>'Input-Output Module'!$E$78</f>
        <v>24016.249497649605</v>
      </c>
      <c r="I83" s="92">
        <f>Calculatie!$D$57*(Calculatie!$D$74*(1+Dynamic!$D$26)^'Breakeven analyse'!D83)</f>
        <v>72913.932041215725</v>
      </c>
      <c r="J83" s="92">
        <f>'Input-Output Module'!$E$87+'Input-Output Module'!$E$88+'Input-Output Module'!$E$89+'Input-Output Module'!$E$90</f>
        <v>11166.732839999999</v>
      </c>
      <c r="K83" s="92">
        <f>'Input-Output Module'!$E$91</f>
        <v>0</v>
      </c>
      <c r="L83" s="92">
        <f>'Input-Output Module'!$E$92</f>
        <v>0</v>
      </c>
      <c r="M83" s="92">
        <f>'Input-Output Module'!$E$93</f>
        <v>0</v>
      </c>
      <c r="N83" s="92">
        <f>'Input-Output Module'!$E$94</f>
        <v>399.10124999999999</v>
      </c>
      <c r="O83" s="92">
        <v>0</v>
      </c>
      <c r="P83" s="92">
        <v>0</v>
      </c>
      <c r="Q83" s="92">
        <f t="shared" si="10"/>
        <v>137527.46137090141</v>
      </c>
      <c r="R83" s="92">
        <f t="shared" si="11"/>
        <v>108496.01562886534</v>
      </c>
      <c r="S83" t="b">
        <f t="shared" si="12"/>
        <v>0</v>
      </c>
    </row>
    <row r="84" spans="1:19" x14ac:dyDescent="0.15">
      <c r="A84" t="s">
        <v>578</v>
      </c>
      <c r="B84">
        <f t="shared" si="9"/>
        <v>3</v>
      </c>
      <c r="C84">
        <f>COUNTIF($B$67:B84,B84)</f>
        <v>4</v>
      </c>
      <c r="D84">
        <v>17</v>
      </c>
      <c r="E84" s="89">
        <f t="shared" si="13"/>
        <v>2047</v>
      </c>
      <c r="F84">
        <f>IF(C84=1,$F$38*(1+Dynamic!$E$30)^('Breakeven analyse'!D84)-$F$38*(1+Dynamic!$E$30)^('Breakeven analyse'!D84-EV_age)*(IF(EV_age&gt;10,10%,VLOOKUP(FC_age,Parameters!$A$83:$D$92,2)))+IF('Breakeven analyse'!E84&gt;2030,Dynamic!$F$24,SUMIFS(Dynamic!$F$15:$F$24,Dynamic!$C$15:$C$24,'Breakeven analyse'!E84))-IF('Breakeven analyse'!E84-FC_age&gt;2030,Dynamic!$F$24,SUMIFS(Dynamic!$F$15:$F$24,Dynamic!$C$15:$C$24,'Breakeven analyse'!E84-FC_age))*(IF(FC_age&gt;10,10%,VLOOKUP(FC_age,Parameters!$A$83:$D$92,2))),0)</f>
        <v>0</v>
      </c>
      <c r="G84">
        <f>IF(B84=1,$F$67,$F$38*(1+Dynamic!$E$30)^(SUMIFS($E$67:$E$86,$B$67:$B$86,B84,$C$67:$C$86,1)-2021)+IF(SUMIFS($E$67:$E$86,$B$67:$B$86,B84,$C$67:$C$86,1)&gt;2030,Dynamic!$G$24,SUMIFS(Dynamic!$G$15:$G$24,Dynamic!$C$15:$C$24,SUMIFS($E$67:$E$86,$B$67:$B$86,B84,$C$67:$C$86,1))+VLOOKUP(SUMIFS($E$67:$E$86,$B$67:$B$86,B84,$C$67:$C$86,1),Dynamic!$C$68:$H$96,6)))*IF(C84&gt;10,Parameters!$D$93/(FC_age-10),INDEX(Parameters!$D$83:$D$92,C84))</f>
        <v>23538.79479330828</v>
      </c>
      <c r="H84" s="92">
        <f>'Input-Output Module'!$E$78</f>
        <v>24016.249497649605</v>
      </c>
      <c r="I84" s="92">
        <f>Calculatie!$D$57*(Calculatie!$D$74*(1+Dynamic!$D$26)^'Breakeven analyse'!D84)</f>
        <v>73643.071361627881</v>
      </c>
      <c r="J84" s="92">
        <f>'Input-Output Module'!$E$87+'Input-Output Module'!$E$88+'Input-Output Module'!$E$89+'Input-Output Module'!$E$90</f>
        <v>11166.732839999999</v>
      </c>
      <c r="K84" s="92">
        <f>'Input-Output Module'!$E$91</f>
        <v>0</v>
      </c>
      <c r="L84" s="92">
        <f>'Input-Output Module'!$E$92</f>
        <v>0</v>
      </c>
      <c r="M84" s="92">
        <f>'Input-Output Module'!$E$93</f>
        <v>0</v>
      </c>
      <c r="N84" s="92">
        <f>'Input-Output Module'!$E$94</f>
        <v>399.10124999999999</v>
      </c>
      <c r="O84" s="92">
        <v>0</v>
      </c>
      <c r="P84" s="92">
        <v>0</v>
      </c>
      <c r="Q84" s="92">
        <f t="shared" si="10"/>
        <v>132763.94974258577</v>
      </c>
      <c r="R84" s="92">
        <f t="shared" si="11"/>
        <v>109225.15494927749</v>
      </c>
      <c r="S84" t="b">
        <f t="shared" si="12"/>
        <v>0</v>
      </c>
    </row>
    <row r="85" spans="1:19" x14ac:dyDescent="0.15">
      <c r="A85" t="s">
        <v>578</v>
      </c>
      <c r="B85">
        <f t="shared" si="9"/>
        <v>3</v>
      </c>
      <c r="C85">
        <f>COUNTIF($B$67:B85,B85)</f>
        <v>5</v>
      </c>
      <c r="D85">
        <v>18</v>
      </c>
      <c r="E85" s="89">
        <f t="shared" si="13"/>
        <v>2048</v>
      </c>
      <c r="F85">
        <f>IF(C85=1,$F$38*(1+Dynamic!$E$30)^('Breakeven analyse'!D85)-$F$38*(1+Dynamic!$E$30)^('Breakeven analyse'!D85-EV_age)*(IF(EV_age&gt;10,10%,VLOOKUP(FC_age,Parameters!$A$83:$D$92,2)))+IF('Breakeven analyse'!E85&gt;2030,Dynamic!$F$24,SUMIFS(Dynamic!$F$15:$F$24,Dynamic!$C$15:$C$24,'Breakeven analyse'!E85))-IF('Breakeven analyse'!E85-FC_age&gt;2030,Dynamic!$F$24,SUMIFS(Dynamic!$F$15:$F$24,Dynamic!$C$15:$C$24,'Breakeven analyse'!E85-FC_age))*(IF(FC_age&gt;10,10%,VLOOKUP(FC_age,Parameters!$A$83:$D$92,2))),0)</f>
        <v>0</v>
      </c>
      <c r="G85">
        <f>IF(B85=1,$F$67,$F$38*(1+Dynamic!$E$30)^(SUMIFS($E$67:$E$86,$B$67:$B$86,B85,$C$67:$C$86,1)-2021)+IF(SUMIFS($E$67:$E$86,$B$67:$B$86,B85,$C$67:$C$86,1)&gt;2030,Dynamic!$G$24,SUMIFS(Dynamic!$G$15:$G$24,Dynamic!$C$15:$C$24,SUMIFS($E$67:$E$86,$B$67:$B$86,B85,$C$67:$C$86,1))+VLOOKUP(SUMIFS($E$67:$E$86,$B$67:$B$86,B85,$C$67:$C$86,1),Dynamic!$C$68:$H$96,6)))*IF(C85&gt;10,Parameters!$D$93/(FC_age-10),INDEX(Parameters!$D$83:$D$92,C85))</f>
        <v>19085.334752006693</v>
      </c>
      <c r="H85" s="92">
        <f>'Input-Output Module'!$E$78</f>
        <v>24016.249497649605</v>
      </c>
      <c r="I85" s="92">
        <f>Calculatie!$D$57*(Calculatie!$D$74*(1+Dynamic!$D$26)^'Breakeven analyse'!D85)</f>
        <v>74379.502075244163</v>
      </c>
      <c r="J85" s="92">
        <f>'Input-Output Module'!$E$87+'Input-Output Module'!$E$88+'Input-Output Module'!$E$89+'Input-Output Module'!$E$90</f>
        <v>11166.732839999999</v>
      </c>
      <c r="K85" s="92">
        <f>'Input-Output Module'!$E$91</f>
        <v>0</v>
      </c>
      <c r="L85" s="92">
        <f>'Input-Output Module'!$E$92</f>
        <v>0</v>
      </c>
      <c r="M85" s="92">
        <f>'Input-Output Module'!$E$93</f>
        <v>0</v>
      </c>
      <c r="N85" s="92">
        <f>'Input-Output Module'!$E$94</f>
        <v>399.10124999999999</v>
      </c>
      <c r="O85" s="92">
        <v>0</v>
      </c>
      <c r="P85" s="92">
        <v>0</v>
      </c>
      <c r="Q85" s="92">
        <f t="shared" si="10"/>
        <v>129046.92041490047</v>
      </c>
      <c r="R85" s="92">
        <f t="shared" si="11"/>
        <v>109961.58566289378</v>
      </c>
      <c r="S85" t="b">
        <f t="shared" si="12"/>
        <v>0</v>
      </c>
    </row>
    <row r="86" spans="1:19" x14ac:dyDescent="0.15">
      <c r="A86" t="s">
        <v>578</v>
      </c>
      <c r="B86">
        <f t="shared" si="9"/>
        <v>3</v>
      </c>
      <c r="C86">
        <f>COUNTIF($B$67:B86,B86)</f>
        <v>6</v>
      </c>
      <c r="D86">
        <v>19</v>
      </c>
      <c r="E86" s="89">
        <f t="shared" si="13"/>
        <v>2049</v>
      </c>
      <c r="F86">
        <f>IF(C86=1,$F$38*(1+Dynamic!$E$30)^('Breakeven analyse'!D86)-$F$38*(1+Dynamic!$E$30)^('Breakeven analyse'!D86-EV_age)*(IF(EV_age&gt;10,10%,VLOOKUP(FC_age,Parameters!$A$83:$D$92,2)))+IF('Breakeven analyse'!E86&gt;2030,Dynamic!$F$24,SUMIFS(Dynamic!$F$15:$F$24,Dynamic!$C$15:$C$24,'Breakeven analyse'!E86))-IF('Breakeven analyse'!E86-FC_age&gt;2030,Dynamic!$F$24,SUMIFS(Dynamic!$F$15:$F$24,Dynamic!$C$15:$C$24,'Breakeven analyse'!E86-FC_age))*(IF(FC_age&gt;10,10%,VLOOKUP(FC_age,Parameters!$A$83:$D$92,2))),0)</f>
        <v>0</v>
      </c>
      <c r="G86">
        <f>IF(B86=1,$F$67,$F$38*(1+Dynamic!$E$30)^(SUMIFS($E$67:$E$86,$B$67:$B$86,B86,$C$67:$C$86,1)-2021)+IF(SUMIFS($E$67:$E$86,$B$67:$B$86,B86,$C$67:$C$86,1)&gt;2030,Dynamic!$G$24,SUMIFS(Dynamic!$G$15:$G$24,Dynamic!$C$15:$C$24,SUMIFS($E$67:$E$86,$B$67:$B$86,B86,$C$67:$C$86,1))+VLOOKUP(SUMIFS($E$67:$E$86,$B$67:$B$86,B86,$C$67:$C$86,1),Dynamic!$C$68:$H$96,6)))*IF(C86&gt;10,Parameters!$D$93/(FC_age-10),INDEX(Parameters!$D$83:$D$92,C86))</f>
        <v>15474.454227355118</v>
      </c>
      <c r="H86" s="92">
        <f>'Input-Output Module'!$E$78</f>
        <v>24016.249497649605</v>
      </c>
      <c r="I86" s="92">
        <f>Calculatie!$D$57*(Calculatie!$D$74*(1+Dynamic!$D$26)^'Breakeven analyse'!D86)</f>
        <v>75123.297095996575</v>
      </c>
      <c r="J86" s="92">
        <f>'Input-Output Module'!$E$87+'Input-Output Module'!$E$88+'Input-Output Module'!$E$89+'Input-Output Module'!$E$90</f>
        <v>11166.732839999999</v>
      </c>
      <c r="K86" s="92">
        <f>'Input-Output Module'!$E$91</f>
        <v>0</v>
      </c>
      <c r="L86" s="92">
        <f>'Input-Output Module'!$E$92</f>
        <v>0</v>
      </c>
      <c r="M86" s="92">
        <f>'Input-Output Module'!$E$93</f>
        <v>0</v>
      </c>
      <c r="N86" s="92">
        <f>'Input-Output Module'!$E$94</f>
        <v>399.10124999999999</v>
      </c>
      <c r="O86" s="92">
        <v>0</v>
      </c>
      <c r="P86" s="92">
        <v>0</v>
      </c>
      <c r="Q86" s="92">
        <f t="shared" si="10"/>
        <v>126179.83491100131</v>
      </c>
      <c r="R86" s="92">
        <f t="shared" si="11"/>
        <v>110705.38068364619</v>
      </c>
      <c r="S86" t="b">
        <f t="shared" si="12"/>
        <v>0</v>
      </c>
    </row>
    <row r="90" spans="1:19" x14ac:dyDescent="0.15">
      <c r="D90" t="s">
        <v>525</v>
      </c>
      <c r="E90" t="s">
        <v>580</v>
      </c>
      <c r="F90" t="s">
        <v>564</v>
      </c>
      <c r="G90" t="s">
        <v>364</v>
      </c>
      <c r="H90" t="s">
        <v>556</v>
      </c>
      <c r="I90" t="s">
        <v>557</v>
      </c>
      <c r="J90" t="s">
        <v>558</v>
      </c>
      <c r="K90" s="254" t="s">
        <v>415</v>
      </c>
      <c r="L90" s="254" t="s">
        <v>45</v>
      </c>
      <c r="M90" s="254" t="s">
        <v>559</v>
      </c>
      <c r="N90" s="254" t="s">
        <v>560</v>
      </c>
      <c r="O90" s="254" t="s">
        <v>561</v>
      </c>
      <c r="P90" s="254" t="s">
        <v>562</v>
      </c>
      <c r="Q90" s="254" t="s">
        <v>63</v>
      </c>
      <c r="R90" s="254" t="s">
        <v>565</v>
      </c>
      <c r="S90" s="254" t="s">
        <v>577</v>
      </c>
    </row>
    <row r="91" spans="1:19" x14ac:dyDescent="0.15">
      <c r="A91">
        <v>0</v>
      </c>
      <c r="D91">
        <f>E41</f>
        <v>2030</v>
      </c>
      <c r="E91" t="s">
        <v>563</v>
      </c>
      <c r="F91" s="256"/>
      <c r="G91" s="256">
        <f>SUMIFS(G$15:G$86,$D$15:$D$86,$A91,$A$15:$A$86,$E91)</f>
        <v>31256.926032337469</v>
      </c>
      <c r="H91" s="256">
        <f t="shared" ref="G91:P106" si="14">SUMIFS(H$15:H$86,$D$15:$D$86,$A91,$A$15:$A$86,$E91)</f>
        <v>8600.4777991373412</v>
      </c>
      <c r="I91" s="256">
        <f>SUMIFS(I$15:I$86,$D$15:$D$86,$A91,$A$15:$A$86,$E91)+M91</f>
        <v>38740.473475698578</v>
      </c>
      <c r="J91" s="256">
        <f t="shared" si="14"/>
        <v>6967.5498399999997</v>
      </c>
      <c r="K91" s="256">
        <f t="shared" si="14"/>
        <v>0</v>
      </c>
      <c r="L91" s="256">
        <f t="shared" si="14"/>
        <v>0</v>
      </c>
      <c r="M91" s="256">
        <f t="shared" si="14"/>
        <v>0</v>
      </c>
      <c r="N91" s="256">
        <f t="shared" si="14"/>
        <v>399.10124999999999</v>
      </c>
      <c r="O91" s="256">
        <f t="shared" si="14"/>
        <v>0</v>
      </c>
      <c r="P91" s="256">
        <f t="shared" si="14"/>
        <v>0</v>
      </c>
      <c r="Q91" s="256">
        <f t="shared" ref="Q91:Q150" si="15">SUMIFS(Q$15:Q$60,$D$15:$D$60,$A91,$A$15:$A$60,"D")</f>
        <v>85964.528397173388</v>
      </c>
      <c r="R91" s="256">
        <f t="shared" ref="R91:R150" si="16">SUMIFS(Q$15:Q$60,$D$15:$D$60,$A91,$A$15:$A$60,"E")</f>
        <v>130476.23071504872</v>
      </c>
      <c r="S91" s="256">
        <f>SUMIFS(Q$15:Q$86,$D$15:$D$86,$A91,$A$15:$A$86,"F")</f>
        <v>174473.595324839</v>
      </c>
    </row>
    <row r="92" spans="1:19" x14ac:dyDescent="0.15">
      <c r="A92">
        <v>0</v>
      </c>
      <c r="E92" t="s">
        <v>566</v>
      </c>
      <c r="F92" s="256"/>
      <c r="G92" s="256">
        <f t="shared" si="14"/>
        <v>46647.486865492167</v>
      </c>
      <c r="H92" s="256">
        <f t="shared" si="14"/>
        <v>14927.357407518604</v>
      </c>
      <c r="I92" s="256">
        <f t="shared" ref="I92:I150" si="17">SUMIFS(I$15:I$86,$D$15:$D$86,$A92,$A$15:$A$86,$E92)+M92</f>
        <v>30569.168352037934</v>
      </c>
      <c r="J92" s="256">
        <f t="shared" si="14"/>
        <v>4768.3668400000006</v>
      </c>
      <c r="K92" s="256">
        <f t="shared" si="14"/>
        <v>0</v>
      </c>
      <c r="L92" s="256">
        <f t="shared" si="14"/>
        <v>0</v>
      </c>
      <c r="M92" s="256">
        <f t="shared" si="14"/>
        <v>0</v>
      </c>
      <c r="N92" s="256">
        <f t="shared" si="14"/>
        <v>399.10124999999999</v>
      </c>
      <c r="O92" s="256">
        <f t="shared" si="14"/>
        <v>29215.5</v>
      </c>
      <c r="P92" s="256">
        <f t="shared" si="14"/>
        <v>3949.25</v>
      </c>
      <c r="Q92" s="256">
        <f t="shared" si="15"/>
        <v>85964.528397173388</v>
      </c>
      <c r="R92" s="256">
        <f t="shared" si="16"/>
        <v>130476.23071504872</v>
      </c>
      <c r="S92" s="256">
        <f t="shared" ref="S92:S150" si="18">SUMIFS(Q$15:Q$86,$D$15:$D$86,$A92,$A$15:$A$86,"F")</f>
        <v>174473.595324839</v>
      </c>
    </row>
    <row r="93" spans="1:19" x14ac:dyDescent="0.15">
      <c r="A93">
        <v>0</v>
      </c>
      <c r="E93" t="s">
        <v>578</v>
      </c>
      <c r="F93" s="256"/>
      <c r="G93" s="256">
        <f t="shared" si="14"/>
        <v>76708.960181374263</v>
      </c>
      <c r="H93" s="256">
        <f t="shared" si="14"/>
        <v>24016.249497649605</v>
      </c>
      <c r="I93" s="256">
        <f t="shared" si="17"/>
        <v>62182.551555815109</v>
      </c>
      <c r="J93" s="256">
        <f t="shared" si="14"/>
        <v>11166.732839999999</v>
      </c>
      <c r="K93" s="256">
        <f t="shared" si="14"/>
        <v>0</v>
      </c>
      <c r="L93" s="256">
        <f t="shared" si="14"/>
        <v>0</v>
      </c>
      <c r="M93" s="256">
        <f t="shared" si="14"/>
        <v>0</v>
      </c>
      <c r="N93" s="256">
        <f t="shared" si="14"/>
        <v>399.10124999999999</v>
      </c>
      <c r="O93" s="256">
        <f t="shared" si="14"/>
        <v>0</v>
      </c>
      <c r="P93" s="256">
        <f t="shared" si="14"/>
        <v>0</v>
      </c>
      <c r="Q93" s="256">
        <f t="shared" si="15"/>
        <v>85964.528397173388</v>
      </c>
      <c r="R93" s="256">
        <f t="shared" si="16"/>
        <v>130476.23071504872</v>
      </c>
      <c r="S93" s="256">
        <f t="shared" si="18"/>
        <v>174473.595324839</v>
      </c>
    </row>
    <row r="94" spans="1:19" x14ac:dyDescent="0.15">
      <c r="A94">
        <f>A91+1</f>
        <v>1</v>
      </c>
      <c r="D94">
        <f>E42</f>
        <v>2031</v>
      </c>
      <c r="E94" t="s">
        <v>563</v>
      </c>
      <c r="F94" s="256"/>
      <c r="G94" s="256">
        <f t="shared" si="14"/>
        <v>25779.880213986824</v>
      </c>
      <c r="H94" s="256">
        <f t="shared" si="14"/>
        <v>8600.4777991373412</v>
      </c>
      <c r="I94" s="256">
        <f t="shared" si="17"/>
        <v>39124.075148944343</v>
      </c>
      <c r="J94" s="256">
        <f t="shared" si="14"/>
        <v>6967.5498399999997</v>
      </c>
      <c r="K94" s="256">
        <f t="shared" si="14"/>
        <v>0</v>
      </c>
      <c r="L94" s="256">
        <f t="shared" si="14"/>
        <v>0</v>
      </c>
      <c r="M94" s="256">
        <f t="shared" si="14"/>
        <v>0</v>
      </c>
      <c r="N94" s="256">
        <f t="shared" si="14"/>
        <v>399.10124999999999</v>
      </c>
      <c r="O94" s="256">
        <f t="shared" si="14"/>
        <v>0</v>
      </c>
      <c r="P94" s="256">
        <f t="shared" si="14"/>
        <v>0</v>
      </c>
      <c r="Q94" s="256">
        <f t="shared" si="15"/>
        <v>80871.084252068511</v>
      </c>
      <c r="R94" s="256">
        <f t="shared" si="16"/>
        <v>93455.72846888451</v>
      </c>
      <c r="S94" s="256">
        <f t="shared" si="18"/>
        <v>161653.96824340281</v>
      </c>
    </row>
    <row r="95" spans="1:19" x14ac:dyDescent="0.15">
      <c r="A95">
        <f t="shared" ref="A95:A150" si="19">A92+1</f>
        <v>1</v>
      </c>
      <c r="E95" t="s">
        <v>566</v>
      </c>
      <c r="F95" s="256"/>
      <c r="G95" s="256">
        <f t="shared" si="14"/>
        <v>38473.604935807591</v>
      </c>
      <c r="H95" s="256">
        <f t="shared" si="14"/>
        <v>14927.357407518604</v>
      </c>
      <c r="I95" s="256">
        <f t="shared" si="17"/>
        <v>30874.860035558311</v>
      </c>
      <c r="J95" s="256">
        <f t="shared" si="14"/>
        <v>4768.3668400000006</v>
      </c>
      <c r="K95" s="256">
        <f t="shared" si="14"/>
        <v>0</v>
      </c>
      <c r="L95" s="256">
        <f t="shared" si="14"/>
        <v>0</v>
      </c>
      <c r="M95" s="256">
        <f t="shared" si="14"/>
        <v>0</v>
      </c>
      <c r="N95" s="256">
        <f t="shared" si="14"/>
        <v>399.10124999999999</v>
      </c>
      <c r="O95" s="256">
        <f t="shared" si="14"/>
        <v>0</v>
      </c>
      <c r="P95" s="256">
        <f t="shared" si="14"/>
        <v>4012.4380000000001</v>
      </c>
      <c r="Q95" s="256">
        <f t="shared" si="15"/>
        <v>80871.084252068511</v>
      </c>
      <c r="R95" s="256">
        <f t="shared" si="16"/>
        <v>93455.72846888451</v>
      </c>
      <c r="S95" s="256">
        <f t="shared" si="18"/>
        <v>161653.96824340281</v>
      </c>
    </row>
    <row r="96" spans="1:19" x14ac:dyDescent="0.15">
      <c r="A96">
        <f t="shared" si="19"/>
        <v>1</v>
      </c>
      <c r="E96" t="s">
        <v>578</v>
      </c>
      <c r="F96" s="256"/>
      <c r="G96" s="256">
        <f t="shared" si="14"/>
        <v>63267.507584379935</v>
      </c>
      <c r="H96" s="256">
        <f t="shared" si="14"/>
        <v>24016.249497649605</v>
      </c>
      <c r="I96" s="256">
        <f t="shared" si="17"/>
        <v>62804.377071373259</v>
      </c>
      <c r="J96" s="256">
        <f t="shared" si="14"/>
        <v>11166.732839999999</v>
      </c>
      <c r="K96" s="256">
        <f t="shared" si="14"/>
        <v>0</v>
      </c>
      <c r="L96" s="256">
        <f t="shared" si="14"/>
        <v>0</v>
      </c>
      <c r="M96" s="256">
        <f t="shared" si="14"/>
        <v>0</v>
      </c>
      <c r="N96" s="256">
        <f t="shared" si="14"/>
        <v>399.10124999999999</v>
      </c>
      <c r="O96" s="256">
        <f t="shared" si="14"/>
        <v>0</v>
      </c>
      <c r="P96" s="256">
        <f t="shared" si="14"/>
        <v>0</v>
      </c>
      <c r="Q96" s="256">
        <f t="shared" si="15"/>
        <v>80871.084252068511</v>
      </c>
      <c r="R96" s="256">
        <f t="shared" si="16"/>
        <v>93455.72846888451</v>
      </c>
      <c r="S96" s="256">
        <f t="shared" si="18"/>
        <v>161653.96824340281</v>
      </c>
    </row>
    <row r="97" spans="1:19" x14ac:dyDescent="0.15">
      <c r="A97">
        <f t="shared" si="19"/>
        <v>2</v>
      </c>
      <c r="D97">
        <f>E43</f>
        <v>2032</v>
      </c>
      <c r="E97" t="s">
        <v>563</v>
      </c>
      <c r="F97" s="256"/>
      <c r="G97" s="256">
        <f t="shared" si="14"/>
        <v>20902.414421423393</v>
      </c>
      <c r="H97" s="256">
        <f t="shared" si="14"/>
        <v>8600.4777991373412</v>
      </c>
      <c r="I97" s="256">
        <f t="shared" si="17"/>
        <v>39511.512838922557</v>
      </c>
      <c r="J97" s="256">
        <f t="shared" si="14"/>
        <v>6967.5498399999997</v>
      </c>
      <c r="K97" s="256">
        <f t="shared" si="14"/>
        <v>0</v>
      </c>
      <c r="L97" s="256">
        <f t="shared" si="14"/>
        <v>0</v>
      </c>
      <c r="M97" s="256">
        <f t="shared" si="14"/>
        <v>0</v>
      </c>
      <c r="N97" s="256">
        <f t="shared" si="14"/>
        <v>399.10124999999999</v>
      </c>
      <c r="O97" s="256">
        <f t="shared" si="14"/>
        <v>0</v>
      </c>
      <c r="P97" s="256">
        <f t="shared" si="14"/>
        <v>0</v>
      </c>
      <c r="Q97" s="256">
        <f t="shared" si="15"/>
        <v>76381.056149483309</v>
      </c>
      <c r="R97" s="256">
        <f t="shared" si="16"/>
        <v>86549.600672956818</v>
      </c>
      <c r="S97" s="256">
        <f t="shared" si="18"/>
        <v>150312.01442444045</v>
      </c>
    </row>
    <row r="98" spans="1:19" x14ac:dyDescent="0.15">
      <c r="A98">
        <f t="shared" si="19"/>
        <v>2</v>
      </c>
      <c r="E98" t="s">
        <v>566</v>
      </c>
      <c r="F98" s="256"/>
      <c r="G98" s="256">
        <f t="shared" si="14"/>
        <v>31194.529531524295</v>
      </c>
      <c r="H98" s="256">
        <f t="shared" si="14"/>
        <v>14927.357407518604</v>
      </c>
      <c r="I98" s="256">
        <f t="shared" si="17"/>
        <v>31183.608635913897</v>
      </c>
      <c r="J98" s="256">
        <f t="shared" si="14"/>
        <v>4768.3668400000006</v>
      </c>
      <c r="K98" s="256">
        <f t="shared" si="14"/>
        <v>0</v>
      </c>
      <c r="L98" s="256">
        <f t="shared" si="14"/>
        <v>0</v>
      </c>
      <c r="M98" s="256">
        <f t="shared" si="14"/>
        <v>0</v>
      </c>
      <c r="N98" s="256">
        <f t="shared" si="14"/>
        <v>399.10124999999999</v>
      </c>
      <c r="O98" s="256">
        <f t="shared" si="14"/>
        <v>0</v>
      </c>
      <c r="P98" s="256">
        <f t="shared" si="14"/>
        <v>4076.6370080000002</v>
      </c>
      <c r="Q98" s="256">
        <f t="shared" si="15"/>
        <v>76381.056149483309</v>
      </c>
      <c r="R98" s="256">
        <f t="shared" si="16"/>
        <v>86549.600672956818</v>
      </c>
      <c r="S98" s="256">
        <f t="shared" si="18"/>
        <v>150312.01442444045</v>
      </c>
    </row>
    <row r="99" spans="1:19" x14ac:dyDescent="0.15">
      <c r="A99">
        <f t="shared" si="19"/>
        <v>2</v>
      </c>
      <c r="E99" t="s">
        <v>578</v>
      </c>
      <c r="F99" s="256"/>
      <c r="G99" s="256">
        <f t="shared" si="14"/>
        <v>51297.509994703847</v>
      </c>
      <c r="H99" s="256">
        <f t="shared" si="14"/>
        <v>24016.249497649605</v>
      </c>
      <c r="I99" s="256">
        <f t="shared" si="17"/>
        <v>63432.420842086991</v>
      </c>
      <c r="J99" s="256">
        <f t="shared" si="14"/>
        <v>11166.732839999999</v>
      </c>
      <c r="K99" s="256">
        <f t="shared" si="14"/>
        <v>0</v>
      </c>
      <c r="L99" s="256">
        <f t="shared" si="14"/>
        <v>0</v>
      </c>
      <c r="M99" s="256">
        <f t="shared" si="14"/>
        <v>0</v>
      </c>
      <c r="N99" s="256">
        <f t="shared" si="14"/>
        <v>399.10124999999999</v>
      </c>
      <c r="O99" s="256">
        <f t="shared" si="14"/>
        <v>0</v>
      </c>
      <c r="P99" s="256">
        <f t="shared" si="14"/>
        <v>0</v>
      </c>
      <c r="Q99" s="256">
        <f t="shared" si="15"/>
        <v>76381.056149483309</v>
      </c>
      <c r="R99" s="256">
        <f t="shared" si="16"/>
        <v>86549.600672956818</v>
      </c>
      <c r="S99" s="256">
        <f t="shared" si="18"/>
        <v>150312.01442444045</v>
      </c>
    </row>
    <row r="100" spans="1:19" x14ac:dyDescent="0.15">
      <c r="A100">
        <f t="shared" si="19"/>
        <v>3</v>
      </c>
      <c r="D100">
        <f>E44</f>
        <v>2033</v>
      </c>
      <c r="E100" t="s">
        <v>563</v>
      </c>
      <c r="F100" s="256"/>
      <c r="G100" s="256">
        <f t="shared" si="14"/>
        <v>16947.74859380001</v>
      </c>
      <c r="H100" s="256">
        <f t="shared" si="14"/>
        <v>8600.4777991373412</v>
      </c>
      <c r="I100" s="256">
        <f t="shared" si="17"/>
        <v>39902.824905800553</v>
      </c>
      <c r="J100" s="256">
        <f t="shared" si="14"/>
        <v>6967.5498399999997</v>
      </c>
      <c r="K100" s="256">
        <f t="shared" si="14"/>
        <v>0</v>
      </c>
      <c r="L100" s="256">
        <f t="shared" si="14"/>
        <v>0</v>
      </c>
      <c r="M100" s="256">
        <f t="shared" si="14"/>
        <v>0</v>
      </c>
      <c r="N100" s="256">
        <f t="shared" si="14"/>
        <v>399.10124999999999</v>
      </c>
      <c r="O100" s="256">
        <f t="shared" si="14"/>
        <v>0</v>
      </c>
      <c r="P100" s="256">
        <f t="shared" si="14"/>
        <v>0</v>
      </c>
      <c r="Q100" s="256">
        <f t="shared" si="15"/>
        <v>72817.702388737904</v>
      </c>
      <c r="R100" s="256">
        <f t="shared" si="16"/>
        <v>81024.763895195749</v>
      </c>
      <c r="S100" s="256">
        <f t="shared" si="18"/>
        <v>141241.02393915286</v>
      </c>
    </row>
    <row r="101" spans="1:19" x14ac:dyDescent="0.15">
      <c r="A101">
        <f t="shared" si="19"/>
        <v>3</v>
      </c>
      <c r="E101" t="s">
        <v>566</v>
      </c>
      <c r="F101" s="256"/>
      <c r="G101" s="256">
        <f t="shared" si="14"/>
        <v>25292.630475276092</v>
      </c>
      <c r="H101" s="256">
        <f t="shared" si="14"/>
        <v>14927.357407518604</v>
      </c>
      <c r="I101" s="256">
        <f t="shared" si="17"/>
        <v>31495.44472227303</v>
      </c>
      <c r="J101" s="256">
        <f t="shared" si="14"/>
        <v>4768.3668400000006</v>
      </c>
      <c r="K101" s="256">
        <f t="shared" si="14"/>
        <v>0</v>
      </c>
      <c r="L101" s="256">
        <f t="shared" si="14"/>
        <v>0</v>
      </c>
      <c r="M101" s="256">
        <f t="shared" si="14"/>
        <v>0</v>
      </c>
      <c r="N101" s="256">
        <f t="shared" si="14"/>
        <v>399.10124999999999</v>
      </c>
      <c r="O101" s="256">
        <f t="shared" si="14"/>
        <v>0</v>
      </c>
      <c r="P101" s="256">
        <f t="shared" si="14"/>
        <v>4141.8632001280002</v>
      </c>
      <c r="Q101" s="256">
        <f t="shared" si="15"/>
        <v>72817.702388737904</v>
      </c>
      <c r="R101" s="256">
        <f t="shared" si="16"/>
        <v>81024.763895195749</v>
      </c>
      <c r="S101" s="256">
        <f t="shared" si="18"/>
        <v>141241.02393915286</v>
      </c>
    </row>
    <row r="102" spans="1:19" x14ac:dyDescent="0.15">
      <c r="A102">
        <f t="shared" si="19"/>
        <v>3</v>
      </c>
      <c r="E102" t="s">
        <v>578</v>
      </c>
      <c r="F102" s="256"/>
      <c r="G102" s="256">
        <f t="shared" si="14"/>
        <v>41592.19530099538</v>
      </c>
      <c r="H102" s="256">
        <f t="shared" si="14"/>
        <v>24016.249497649605</v>
      </c>
      <c r="I102" s="256">
        <f t="shared" si="17"/>
        <v>64066.745050507852</v>
      </c>
      <c r="J102" s="256">
        <f t="shared" si="14"/>
        <v>11166.732839999999</v>
      </c>
      <c r="K102" s="256">
        <f t="shared" si="14"/>
        <v>0</v>
      </c>
      <c r="L102" s="256">
        <f t="shared" si="14"/>
        <v>0</v>
      </c>
      <c r="M102" s="256">
        <f t="shared" si="14"/>
        <v>0</v>
      </c>
      <c r="N102" s="256">
        <f t="shared" si="14"/>
        <v>399.10124999999999</v>
      </c>
      <c r="O102" s="256">
        <f t="shared" si="14"/>
        <v>0</v>
      </c>
      <c r="P102" s="256">
        <f t="shared" si="14"/>
        <v>0</v>
      </c>
      <c r="Q102" s="256">
        <f t="shared" si="15"/>
        <v>72817.702388737904</v>
      </c>
      <c r="R102" s="256">
        <f t="shared" si="16"/>
        <v>81024.763895195749</v>
      </c>
      <c r="S102" s="256">
        <f t="shared" si="18"/>
        <v>141241.02393915286</v>
      </c>
    </row>
    <row r="103" spans="1:19" x14ac:dyDescent="0.15">
      <c r="A103">
        <f t="shared" si="19"/>
        <v>4</v>
      </c>
      <c r="D103">
        <f>E45</f>
        <v>2034</v>
      </c>
      <c r="E103" t="s">
        <v>563</v>
      </c>
      <c r="F103" s="256"/>
      <c r="G103" s="256">
        <f t="shared" si="14"/>
        <v>13741.292111415865</v>
      </c>
      <c r="H103" s="256">
        <f t="shared" si="14"/>
        <v>8600.4777991373412</v>
      </c>
      <c r="I103" s="256">
        <f t="shared" si="17"/>
        <v>40298.050093347338</v>
      </c>
      <c r="J103" s="256">
        <f t="shared" si="14"/>
        <v>6967.5498399999997</v>
      </c>
      <c r="K103" s="256">
        <f t="shared" si="14"/>
        <v>0</v>
      </c>
      <c r="L103" s="256">
        <f t="shared" si="14"/>
        <v>0</v>
      </c>
      <c r="M103" s="256">
        <f t="shared" si="14"/>
        <v>0</v>
      </c>
      <c r="N103" s="256">
        <f t="shared" si="14"/>
        <v>399.10124999999999</v>
      </c>
      <c r="O103" s="256">
        <f t="shared" si="14"/>
        <v>0</v>
      </c>
      <c r="P103" s="256">
        <f t="shared" si="14"/>
        <v>0</v>
      </c>
      <c r="Q103" s="256">
        <f t="shared" si="15"/>
        <v>70006.47109390056</v>
      </c>
      <c r="R103" s="256">
        <f t="shared" si="16"/>
        <v>76620.708357007039</v>
      </c>
      <c r="S103" s="256">
        <f t="shared" si="18"/>
        <v>134012.58927846351</v>
      </c>
    </row>
    <row r="104" spans="1:19" x14ac:dyDescent="0.15">
      <c r="A104">
        <f t="shared" si="19"/>
        <v>4</v>
      </c>
      <c r="E104" t="s">
        <v>566</v>
      </c>
      <c r="F104" s="256"/>
      <c r="G104" s="256">
        <f t="shared" si="14"/>
        <v>20507.350678662606</v>
      </c>
      <c r="H104" s="256">
        <f t="shared" si="14"/>
        <v>14927.357407518604</v>
      </c>
      <c r="I104" s="256">
        <f t="shared" si="17"/>
        <v>31810.399169495766</v>
      </c>
      <c r="J104" s="256">
        <f t="shared" si="14"/>
        <v>4768.3668400000006</v>
      </c>
      <c r="K104" s="256">
        <f t="shared" si="14"/>
        <v>0</v>
      </c>
      <c r="L104" s="256">
        <f t="shared" si="14"/>
        <v>0</v>
      </c>
      <c r="M104" s="256">
        <f t="shared" si="14"/>
        <v>0</v>
      </c>
      <c r="N104" s="256">
        <f t="shared" si="14"/>
        <v>399.10124999999999</v>
      </c>
      <c r="O104" s="256">
        <f t="shared" si="14"/>
        <v>0</v>
      </c>
      <c r="P104" s="256">
        <f t="shared" si="14"/>
        <v>4208.1330113300482</v>
      </c>
      <c r="Q104" s="256">
        <f t="shared" si="15"/>
        <v>70006.47109390056</v>
      </c>
      <c r="R104" s="256">
        <f t="shared" si="16"/>
        <v>76620.708357007039</v>
      </c>
      <c r="S104" s="256">
        <f t="shared" si="18"/>
        <v>134012.58927846351</v>
      </c>
    </row>
    <row r="105" spans="1:19" x14ac:dyDescent="0.15">
      <c r="A105">
        <f t="shared" si="19"/>
        <v>4</v>
      </c>
      <c r="E105" t="s">
        <v>578</v>
      </c>
      <c r="F105" s="256"/>
      <c r="G105" s="256">
        <f t="shared" si="14"/>
        <v>33723.093189800951</v>
      </c>
      <c r="H105" s="256">
        <f t="shared" si="14"/>
        <v>24016.249497649605</v>
      </c>
      <c r="I105" s="256">
        <f t="shared" si="17"/>
        <v>64707.412501012943</v>
      </c>
      <c r="J105" s="256">
        <f t="shared" si="14"/>
        <v>11166.732839999999</v>
      </c>
      <c r="K105" s="256">
        <f t="shared" si="14"/>
        <v>0</v>
      </c>
      <c r="L105" s="256">
        <f t="shared" si="14"/>
        <v>0</v>
      </c>
      <c r="M105" s="256">
        <f t="shared" si="14"/>
        <v>0</v>
      </c>
      <c r="N105" s="256">
        <f t="shared" si="14"/>
        <v>399.10124999999999</v>
      </c>
      <c r="O105" s="256">
        <f t="shared" si="14"/>
        <v>0</v>
      </c>
      <c r="P105" s="256">
        <f t="shared" si="14"/>
        <v>0</v>
      </c>
      <c r="Q105" s="256">
        <f t="shared" si="15"/>
        <v>70006.47109390056</v>
      </c>
      <c r="R105" s="256">
        <f t="shared" si="16"/>
        <v>76620.708357007039</v>
      </c>
      <c r="S105" s="256">
        <f t="shared" si="18"/>
        <v>134012.58927846351</v>
      </c>
    </row>
    <row r="106" spans="1:19" x14ac:dyDescent="0.15">
      <c r="A106">
        <f t="shared" si="19"/>
        <v>5</v>
      </c>
      <c r="D106">
        <f>E46</f>
        <v>2035</v>
      </c>
      <c r="E106" t="s">
        <v>563</v>
      </c>
      <c r="F106" s="256"/>
      <c r="G106" s="256">
        <f t="shared" si="14"/>
        <v>11141.486306938537</v>
      </c>
      <c r="H106" s="256">
        <f t="shared" si="14"/>
        <v>8600.4777991373412</v>
      </c>
      <c r="I106" s="256">
        <f t="shared" si="17"/>
        <v>40697.22753276959</v>
      </c>
      <c r="J106" s="256">
        <f t="shared" si="14"/>
        <v>6967.5498399999997</v>
      </c>
      <c r="K106" s="256">
        <f t="shared" si="14"/>
        <v>0</v>
      </c>
      <c r="L106" s="256">
        <f t="shared" si="14"/>
        <v>0</v>
      </c>
      <c r="M106" s="256">
        <f t="shared" si="14"/>
        <v>0</v>
      </c>
      <c r="N106" s="256">
        <f t="shared" si="14"/>
        <v>399.10124999999999</v>
      </c>
      <c r="O106" s="256">
        <f t="shared" si="14"/>
        <v>0</v>
      </c>
      <c r="P106" s="256">
        <f t="shared" si="14"/>
        <v>0</v>
      </c>
      <c r="Q106" s="256">
        <f t="shared" si="15"/>
        <v>67805.842728845484</v>
      </c>
      <c r="R106" s="256">
        <f t="shared" si="16"/>
        <v>73126.221367823484</v>
      </c>
      <c r="S106" s="256">
        <f t="shared" si="18"/>
        <v>128279.36868963535</v>
      </c>
    </row>
    <row r="107" spans="1:19" x14ac:dyDescent="0.15">
      <c r="A107">
        <f t="shared" si="19"/>
        <v>5</v>
      </c>
      <c r="E107" t="s">
        <v>566</v>
      </c>
      <c r="F107" s="256"/>
      <c r="G107" s="256">
        <f t="shared" ref="G107:P122" si="20">SUMIFS(G$15:G$86,$D$15:$D$86,$A107,$A$15:$A$86,$E107)</f>
        <v>16627.429569602824</v>
      </c>
      <c r="H107" s="256">
        <f t="shared" si="20"/>
        <v>14927.357407518604</v>
      </c>
      <c r="I107" s="256">
        <f t="shared" si="17"/>
        <v>32128.503161190722</v>
      </c>
      <c r="J107" s="256">
        <f t="shared" si="20"/>
        <v>4768.3668400000006</v>
      </c>
      <c r="K107" s="256">
        <f t="shared" si="20"/>
        <v>0</v>
      </c>
      <c r="L107" s="256">
        <f t="shared" si="20"/>
        <v>0</v>
      </c>
      <c r="M107" s="256">
        <f t="shared" si="20"/>
        <v>0</v>
      </c>
      <c r="N107" s="256">
        <f t="shared" si="20"/>
        <v>399.10124999999999</v>
      </c>
      <c r="O107" s="256">
        <f t="shared" si="20"/>
        <v>0</v>
      </c>
      <c r="P107" s="256">
        <f t="shared" si="20"/>
        <v>4275.4631395113292</v>
      </c>
      <c r="Q107" s="256">
        <f t="shared" si="15"/>
        <v>67805.842728845484</v>
      </c>
      <c r="R107" s="256">
        <f t="shared" si="16"/>
        <v>73126.221367823484</v>
      </c>
      <c r="S107" s="256">
        <f t="shared" si="18"/>
        <v>128279.36868963535</v>
      </c>
    </row>
    <row r="108" spans="1:19" x14ac:dyDescent="0.15">
      <c r="A108">
        <f t="shared" si="19"/>
        <v>5</v>
      </c>
      <c r="E108" t="s">
        <v>578</v>
      </c>
      <c r="F108" s="256"/>
      <c r="G108" s="256">
        <f t="shared" si="20"/>
        <v>27342.798475962671</v>
      </c>
      <c r="H108" s="256">
        <f t="shared" si="20"/>
        <v>24016.249497649605</v>
      </c>
      <c r="I108" s="256">
        <f t="shared" si="17"/>
        <v>65354.48662602307</v>
      </c>
      <c r="J108" s="256">
        <f t="shared" si="20"/>
        <v>11166.732839999999</v>
      </c>
      <c r="K108" s="256">
        <f t="shared" si="20"/>
        <v>0</v>
      </c>
      <c r="L108" s="256">
        <f t="shared" si="20"/>
        <v>0</v>
      </c>
      <c r="M108" s="256">
        <f t="shared" si="20"/>
        <v>0</v>
      </c>
      <c r="N108" s="256">
        <f t="shared" si="20"/>
        <v>399.10124999999999</v>
      </c>
      <c r="O108" s="256">
        <f t="shared" si="20"/>
        <v>0</v>
      </c>
      <c r="P108" s="256">
        <f t="shared" si="20"/>
        <v>0</v>
      </c>
      <c r="Q108" s="256">
        <f t="shared" si="15"/>
        <v>67805.842728845484</v>
      </c>
      <c r="R108" s="256">
        <f t="shared" si="16"/>
        <v>73126.221367823484</v>
      </c>
      <c r="S108" s="256">
        <f t="shared" si="18"/>
        <v>128279.36868963535</v>
      </c>
    </row>
    <row r="109" spans="1:19" x14ac:dyDescent="0.15">
      <c r="A109">
        <f t="shared" si="19"/>
        <v>6</v>
      </c>
      <c r="D109">
        <f>E47</f>
        <v>2036</v>
      </c>
      <c r="E109" t="s">
        <v>563</v>
      </c>
      <c r="F109" s="256"/>
      <c r="G109" s="256">
        <f t="shared" si="20"/>
        <v>9033.5549321867165</v>
      </c>
      <c r="H109" s="256">
        <f t="shared" si="20"/>
        <v>8600.4777991373412</v>
      </c>
      <c r="I109" s="256">
        <f t="shared" si="17"/>
        <v>41100.396746586062</v>
      </c>
      <c r="J109" s="256">
        <f t="shared" si="20"/>
        <v>6967.5498399999997</v>
      </c>
      <c r="K109" s="256">
        <f t="shared" si="20"/>
        <v>0</v>
      </c>
      <c r="L109" s="256">
        <f t="shared" si="20"/>
        <v>0</v>
      </c>
      <c r="M109" s="256">
        <f t="shared" si="20"/>
        <v>0</v>
      </c>
      <c r="N109" s="256">
        <f t="shared" si="20"/>
        <v>399.10124999999999</v>
      </c>
      <c r="O109" s="256">
        <f t="shared" si="20"/>
        <v>0</v>
      </c>
      <c r="P109" s="256">
        <f t="shared" si="20"/>
        <v>0</v>
      </c>
      <c r="Q109" s="256">
        <f t="shared" si="15"/>
        <v>66101.080567910132</v>
      </c>
      <c r="R109" s="256">
        <f t="shared" si="16"/>
        <v>70370.060598914686</v>
      </c>
      <c r="S109" s="256">
        <f t="shared" si="18"/>
        <v>123759.74893556089</v>
      </c>
    </row>
    <row r="110" spans="1:19" x14ac:dyDescent="0.15">
      <c r="A110">
        <f t="shared" si="19"/>
        <v>6</v>
      </c>
      <c r="E110" t="s">
        <v>566</v>
      </c>
      <c r="F110" s="256"/>
      <c r="G110" s="256">
        <f t="shared" si="20"/>
        <v>13481.57635884993</v>
      </c>
      <c r="H110" s="256">
        <f t="shared" si="20"/>
        <v>14927.357407518604</v>
      </c>
      <c r="I110" s="256">
        <f t="shared" si="17"/>
        <v>32449.788192802633</v>
      </c>
      <c r="J110" s="256">
        <f t="shared" si="20"/>
        <v>4768.3668400000006</v>
      </c>
      <c r="K110" s="256">
        <f t="shared" si="20"/>
        <v>0</v>
      </c>
      <c r="L110" s="256">
        <f t="shared" si="20"/>
        <v>0</v>
      </c>
      <c r="M110" s="256">
        <f t="shared" si="20"/>
        <v>0</v>
      </c>
      <c r="N110" s="256">
        <f t="shared" si="20"/>
        <v>399.10124999999999</v>
      </c>
      <c r="O110" s="256">
        <f t="shared" si="20"/>
        <v>0</v>
      </c>
      <c r="P110" s="256">
        <f t="shared" si="20"/>
        <v>4343.8705497435103</v>
      </c>
      <c r="Q110" s="256">
        <f t="shared" si="15"/>
        <v>66101.080567910132</v>
      </c>
      <c r="R110" s="256">
        <f t="shared" si="16"/>
        <v>70370.060598914686</v>
      </c>
      <c r="S110" s="256">
        <f t="shared" si="18"/>
        <v>123759.74893556089</v>
      </c>
    </row>
    <row r="111" spans="1:19" x14ac:dyDescent="0.15">
      <c r="A111">
        <f t="shared" si="19"/>
        <v>6</v>
      </c>
      <c r="E111" t="s">
        <v>578</v>
      </c>
      <c r="F111" s="256"/>
      <c r="G111" s="256">
        <f t="shared" si="20"/>
        <v>22169.633855627966</v>
      </c>
      <c r="H111" s="256">
        <f t="shared" si="20"/>
        <v>24016.249497649605</v>
      </c>
      <c r="I111" s="256">
        <f t="shared" si="17"/>
        <v>66008.031492283306</v>
      </c>
      <c r="J111" s="256">
        <f t="shared" si="20"/>
        <v>11166.732839999999</v>
      </c>
      <c r="K111" s="256">
        <f t="shared" si="20"/>
        <v>0</v>
      </c>
      <c r="L111" s="256">
        <f t="shared" si="20"/>
        <v>0</v>
      </c>
      <c r="M111" s="256">
        <f t="shared" si="20"/>
        <v>0</v>
      </c>
      <c r="N111" s="256">
        <f t="shared" si="20"/>
        <v>399.10124999999999</v>
      </c>
      <c r="O111" s="256">
        <f t="shared" si="20"/>
        <v>0</v>
      </c>
      <c r="P111" s="256">
        <f t="shared" si="20"/>
        <v>0</v>
      </c>
      <c r="Q111" s="256">
        <f t="shared" si="15"/>
        <v>66101.080567910132</v>
      </c>
      <c r="R111" s="256">
        <f t="shared" si="16"/>
        <v>70370.060598914686</v>
      </c>
      <c r="S111" s="256">
        <f t="shared" si="18"/>
        <v>123759.74893556089</v>
      </c>
    </row>
    <row r="112" spans="1:19" x14ac:dyDescent="0.15">
      <c r="A112">
        <f t="shared" si="19"/>
        <v>7</v>
      </c>
      <c r="D112">
        <f>E48</f>
        <v>2037</v>
      </c>
      <c r="E112" t="s">
        <v>563</v>
      </c>
      <c r="F112" s="256"/>
      <c r="G112" s="256">
        <f t="shared" si="20"/>
        <v>32166.06100003704</v>
      </c>
      <c r="H112" s="256">
        <f t="shared" si="20"/>
        <v>8600.4777991373412</v>
      </c>
      <c r="I112" s="256">
        <f t="shared" si="17"/>
        <v>41507.597652540688</v>
      </c>
      <c r="J112" s="256">
        <f t="shared" si="20"/>
        <v>6967.5498399999997</v>
      </c>
      <c r="K112" s="256">
        <f t="shared" si="20"/>
        <v>0</v>
      </c>
      <c r="L112" s="256">
        <f t="shared" si="20"/>
        <v>0</v>
      </c>
      <c r="M112" s="256">
        <f t="shared" si="20"/>
        <v>0</v>
      </c>
      <c r="N112" s="256">
        <f t="shared" si="20"/>
        <v>399.10124999999999</v>
      </c>
      <c r="O112" s="256">
        <f t="shared" si="20"/>
        <v>0</v>
      </c>
      <c r="P112" s="256">
        <f t="shared" si="20"/>
        <v>0</v>
      </c>
      <c r="Q112" s="256">
        <f t="shared" si="15"/>
        <v>89640.787541715079</v>
      </c>
      <c r="R112" s="256">
        <f t="shared" si="16"/>
        <v>103696.44759964089</v>
      </c>
      <c r="S112" s="256">
        <f t="shared" si="18"/>
        <v>141924.53004138166</v>
      </c>
    </row>
    <row r="113" spans="1:19" x14ac:dyDescent="0.15">
      <c r="A113">
        <f t="shared" si="19"/>
        <v>7</v>
      </c>
      <c r="E113" t="s">
        <v>566</v>
      </c>
      <c r="F113" s="256"/>
      <c r="G113" s="256">
        <f t="shared" si="20"/>
        <v>46413.963548852218</v>
      </c>
      <c r="H113" s="256">
        <f t="shared" si="20"/>
        <v>14927.357407518604</v>
      </c>
      <c r="I113" s="256">
        <f t="shared" si="17"/>
        <v>32774.286074730655</v>
      </c>
      <c r="J113" s="256">
        <f t="shared" si="20"/>
        <v>4768.3668400000006</v>
      </c>
      <c r="K113" s="256">
        <f t="shared" si="20"/>
        <v>0</v>
      </c>
      <c r="L113" s="256">
        <f t="shared" si="20"/>
        <v>0</v>
      </c>
      <c r="M113" s="256">
        <f t="shared" si="20"/>
        <v>0</v>
      </c>
      <c r="N113" s="256">
        <f t="shared" si="20"/>
        <v>399.10124999999999</v>
      </c>
      <c r="O113" s="256">
        <f t="shared" si="20"/>
        <v>0</v>
      </c>
      <c r="P113" s="256">
        <f t="shared" si="20"/>
        <v>4413.372478539407</v>
      </c>
      <c r="Q113" s="256">
        <f t="shared" si="15"/>
        <v>89640.787541715079</v>
      </c>
      <c r="R113" s="256">
        <f t="shared" si="16"/>
        <v>103696.44759964089</v>
      </c>
      <c r="S113" s="256">
        <f t="shared" si="18"/>
        <v>141924.53004138166</v>
      </c>
    </row>
    <row r="114" spans="1:19" x14ac:dyDescent="0.15">
      <c r="A114">
        <f t="shared" si="19"/>
        <v>7</v>
      </c>
      <c r="E114" t="s">
        <v>578</v>
      </c>
      <c r="F114" s="256"/>
      <c r="G114" s="256">
        <f t="shared" si="20"/>
        <v>39674.334646525909</v>
      </c>
      <c r="H114" s="256">
        <f t="shared" si="20"/>
        <v>24016.249497649605</v>
      </c>
      <c r="I114" s="256">
        <f t="shared" si="17"/>
        <v>66668.111807206122</v>
      </c>
      <c r="J114" s="256">
        <f t="shared" si="20"/>
        <v>11166.732839999999</v>
      </c>
      <c r="K114" s="256">
        <f t="shared" si="20"/>
        <v>0</v>
      </c>
      <c r="L114" s="256">
        <f t="shared" si="20"/>
        <v>0</v>
      </c>
      <c r="M114" s="256">
        <f t="shared" si="20"/>
        <v>0</v>
      </c>
      <c r="N114" s="256">
        <f t="shared" si="20"/>
        <v>399.10124999999999</v>
      </c>
      <c r="O114" s="256">
        <f t="shared" si="20"/>
        <v>0</v>
      </c>
      <c r="P114" s="256">
        <f t="shared" si="20"/>
        <v>0</v>
      </c>
      <c r="Q114" s="256">
        <f t="shared" si="15"/>
        <v>89640.787541715079</v>
      </c>
      <c r="R114" s="256">
        <f t="shared" si="16"/>
        <v>103696.44759964089</v>
      </c>
      <c r="S114" s="256">
        <f t="shared" si="18"/>
        <v>141924.53004138166</v>
      </c>
    </row>
    <row r="115" spans="1:19" x14ac:dyDescent="0.15">
      <c r="A115">
        <f t="shared" si="19"/>
        <v>8</v>
      </c>
      <c r="D115">
        <f>E49</f>
        <v>2038</v>
      </c>
      <c r="E115" t="s">
        <v>563</v>
      </c>
      <c r="F115" s="256"/>
      <c r="G115" s="256">
        <f t="shared" si="20"/>
        <v>26529.710524919959</v>
      </c>
      <c r="H115" s="256">
        <f t="shared" si="20"/>
        <v>8600.4777991373412</v>
      </c>
      <c r="I115" s="256">
        <f t="shared" si="17"/>
        <v>41918.870567554877</v>
      </c>
      <c r="J115" s="256">
        <f t="shared" si="20"/>
        <v>6967.5498399999997</v>
      </c>
      <c r="K115" s="256">
        <f t="shared" si="20"/>
        <v>0</v>
      </c>
      <c r="L115" s="256">
        <f t="shared" si="20"/>
        <v>0</v>
      </c>
      <c r="M115" s="256">
        <f t="shared" si="20"/>
        <v>0</v>
      </c>
      <c r="N115" s="256">
        <f t="shared" si="20"/>
        <v>399.10124999999999</v>
      </c>
      <c r="O115" s="256">
        <f t="shared" si="20"/>
        <v>0</v>
      </c>
      <c r="P115" s="256">
        <f t="shared" si="20"/>
        <v>0</v>
      </c>
      <c r="Q115" s="256">
        <f t="shared" si="15"/>
        <v>84415.709981612192</v>
      </c>
      <c r="R115" s="256">
        <f t="shared" si="16"/>
        <v>95961.841994202929</v>
      </c>
      <c r="S115" s="256">
        <f t="shared" si="18"/>
        <v>135639.21119481264</v>
      </c>
    </row>
    <row r="116" spans="1:19" x14ac:dyDescent="0.15">
      <c r="A116">
        <f t="shared" si="19"/>
        <v>8</v>
      </c>
      <c r="E116" t="s">
        <v>566</v>
      </c>
      <c r="F116" s="256"/>
      <c r="G116" s="256">
        <f t="shared" si="20"/>
        <v>38281.001123010312</v>
      </c>
      <c r="H116" s="256">
        <f t="shared" si="20"/>
        <v>14927.357407518604</v>
      </c>
      <c r="I116" s="256">
        <f t="shared" si="17"/>
        <v>33102.028935477967</v>
      </c>
      <c r="J116" s="256">
        <f t="shared" si="20"/>
        <v>4768.3668400000006</v>
      </c>
      <c r="K116" s="256">
        <f t="shared" si="20"/>
        <v>0</v>
      </c>
      <c r="L116" s="256">
        <f t="shared" si="20"/>
        <v>0</v>
      </c>
      <c r="M116" s="256">
        <f t="shared" si="20"/>
        <v>0</v>
      </c>
      <c r="N116" s="256">
        <f t="shared" si="20"/>
        <v>399.10124999999999</v>
      </c>
      <c r="O116" s="256">
        <f t="shared" si="20"/>
        <v>0</v>
      </c>
      <c r="P116" s="256">
        <f t="shared" si="20"/>
        <v>4483.9864381960369</v>
      </c>
      <c r="Q116" s="256">
        <f t="shared" si="15"/>
        <v>84415.709981612192</v>
      </c>
      <c r="R116" s="256">
        <f t="shared" si="16"/>
        <v>95961.841994202929</v>
      </c>
      <c r="S116" s="256">
        <f t="shared" si="18"/>
        <v>135639.21119481264</v>
      </c>
    </row>
    <row r="117" spans="1:19" x14ac:dyDescent="0.15">
      <c r="A117">
        <f t="shared" si="19"/>
        <v>8</v>
      </c>
      <c r="E117" t="s">
        <v>578</v>
      </c>
      <c r="F117" s="256"/>
      <c r="G117" s="256">
        <f t="shared" si="20"/>
        <v>32722.334681884829</v>
      </c>
      <c r="H117" s="256">
        <f t="shared" si="20"/>
        <v>24016.249497649605</v>
      </c>
      <c r="I117" s="256">
        <f t="shared" si="17"/>
        <v>67334.792925278205</v>
      </c>
      <c r="J117" s="256">
        <f t="shared" si="20"/>
        <v>11166.732839999999</v>
      </c>
      <c r="K117" s="256">
        <f t="shared" si="20"/>
        <v>0</v>
      </c>
      <c r="L117" s="256">
        <f t="shared" si="20"/>
        <v>0</v>
      </c>
      <c r="M117" s="256">
        <f t="shared" si="20"/>
        <v>0</v>
      </c>
      <c r="N117" s="256">
        <f t="shared" si="20"/>
        <v>399.10124999999999</v>
      </c>
      <c r="O117" s="256">
        <f t="shared" si="20"/>
        <v>0</v>
      </c>
      <c r="P117" s="256">
        <f t="shared" si="20"/>
        <v>0</v>
      </c>
      <c r="Q117" s="256">
        <f t="shared" si="15"/>
        <v>84415.709981612192</v>
      </c>
      <c r="R117" s="256">
        <f t="shared" si="16"/>
        <v>95961.841994202929</v>
      </c>
      <c r="S117" s="256">
        <f t="shared" si="18"/>
        <v>135639.21119481264</v>
      </c>
    </row>
    <row r="118" spans="1:19" x14ac:dyDescent="0.15">
      <c r="A118">
        <f t="shared" si="19"/>
        <v>9</v>
      </c>
      <c r="D118">
        <f>E50</f>
        <v>2039</v>
      </c>
      <c r="E118" t="s">
        <v>563</v>
      </c>
      <c r="F118" s="256"/>
      <c r="G118" s="256">
        <f t="shared" si="20"/>
        <v>21510.379383819363</v>
      </c>
      <c r="H118" s="256">
        <f t="shared" si="20"/>
        <v>8600.4777991373412</v>
      </c>
      <c r="I118" s="256">
        <f t="shared" si="17"/>
        <v>42334.256211719206</v>
      </c>
      <c r="J118" s="256">
        <f t="shared" si="20"/>
        <v>6967.5498399999997</v>
      </c>
      <c r="K118" s="256">
        <f t="shared" si="20"/>
        <v>0</v>
      </c>
      <c r="L118" s="256">
        <f t="shared" si="20"/>
        <v>0</v>
      </c>
      <c r="M118" s="256">
        <f t="shared" si="20"/>
        <v>0</v>
      </c>
      <c r="N118" s="256">
        <f t="shared" si="20"/>
        <v>399.10124999999999</v>
      </c>
      <c r="O118" s="256">
        <f t="shared" si="20"/>
        <v>0</v>
      </c>
      <c r="P118" s="256">
        <f t="shared" si="20"/>
        <v>0</v>
      </c>
      <c r="Q118" s="256">
        <f t="shared" si="15"/>
        <v>79811.764484675921</v>
      </c>
      <c r="R118" s="256">
        <f t="shared" si="16"/>
        <v>89121.970649618248</v>
      </c>
      <c r="S118" s="256">
        <f t="shared" si="18"/>
        <v>130121.60452152566</v>
      </c>
    </row>
    <row r="119" spans="1:19" x14ac:dyDescent="0.15">
      <c r="A119">
        <f t="shared" si="19"/>
        <v>9</v>
      </c>
      <c r="E119" t="s">
        <v>566</v>
      </c>
      <c r="F119" s="256"/>
      <c r="G119" s="256">
        <f t="shared" si="20"/>
        <v>31038.365706059707</v>
      </c>
      <c r="H119" s="256">
        <f t="shared" si="20"/>
        <v>14927.357407518604</v>
      </c>
      <c r="I119" s="256">
        <f t="shared" si="17"/>
        <v>33433.04922483275</v>
      </c>
      <c r="J119" s="256">
        <f t="shared" si="20"/>
        <v>4768.3668400000006</v>
      </c>
      <c r="K119" s="256">
        <f t="shared" si="20"/>
        <v>0</v>
      </c>
      <c r="L119" s="256">
        <f t="shared" si="20"/>
        <v>0</v>
      </c>
      <c r="M119" s="256">
        <f t="shared" si="20"/>
        <v>0</v>
      </c>
      <c r="N119" s="256">
        <f t="shared" si="20"/>
        <v>399.10124999999999</v>
      </c>
      <c r="O119" s="256">
        <f t="shared" si="20"/>
        <v>0</v>
      </c>
      <c r="P119" s="256">
        <f t="shared" si="20"/>
        <v>4555.7302212071736</v>
      </c>
      <c r="Q119" s="256">
        <f t="shared" si="15"/>
        <v>79811.764484675921</v>
      </c>
      <c r="R119" s="256">
        <f t="shared" si="16"/>
        <v>89121.970649618248</v>
      </c>
      <c r="S119" s="256">
        <f t="shared" si="18"/>
        <v>130121.60452152566</v>
      </c>
    </row>
    <row r="120" spans="1:19" x14ac:dyDescent="0.15">
      <c r="A120">
        <f t="shared" si="19"/>
        <v>9</v>
      </c>
      <c r="E120" t="s">
        <v>578</v>
      </c>
      <c r="F120" s="256"/>
      <c r="G120" s="256">
        <f t="shared" si="20"/>
        <v>26531.380079345076</v>
      </c>
      <c r="H120" s="256">
        <f t="shared" si="20"/>
        <v>24016.249497649605</v>
      </c>
      <c r="I120" s="256">
        <f t="shared" si="17"/>
        <v>68008.140854530982</v>
      </c>
      <c r="J120" s="256">
        <f t="shared" si="20"/>
        <v>11166.732839999999</v>
      </c>
      <c r="K120" s="256">
        <f t="shared" si="20"/>
        <v>0</v>
      </c>
      <c r="L120" s="256">
        <f t="shared" si="20"/>
        <v>0</v>
      </c>
      <c r="M120" s="256">
        <f t="shared" si="20"/>
        <v>0</v>
      </c>
      <c r="N120" s="256">
        <f t="shared" si="20"/>
        <v>399.10124999999999</v>
      </c>
      <c r="O120" s="256">
        <f t="shared" si="20"/>
        <v>0</v>
      </c>
      <c r="P120" s="256">
        <f t="shared" si="20"/>
        <v>0</v>
      </c>
      <c r="Q120" s="256">
        <f t="shared" si="15"/>
        <v>79811.764484675921</v>
      </c>
      <c r="R120" s="256">
        <f t="shared" si="16"/>
        <v>89121.970649618248</v>
      </c>
      <c r="S120" s="256">
        <f t="shared" si="18"/>
        <v>130121.60452152566</v>
      </c>
    </row>
    <row r="121" spans="1:19" x14ac:dyDescent="0.15">
      <c r="A121">
        <f t="shared" si="19"/>
        <v>10</v>
      </c>
      <c r="D121">
        <f>E51</f>
        <v>2040</v>
      </c>
      <c r="E121" t="s">
        <v>563</v>
      </c>
      <c r="F121" s="256"/>
      <c r="G121" s="256">
        <f t="shared" si="20"/>
        <v>17440.688649852367</v>
      </c>
      <c r="H121" s="256">
        <f t="shared" si="20"/>
        <v>8600.4777991373412</v>
      </c>
      <c r="I121" s="256">
        <f t="shared" si="17"/>
        <v>42753.795712325184</v>
      </c>
      <c r="J121" s="256">
        <f t="shared" si="20"/>
        <v>6967.5498399999997</v>
      </c>
      <c r="K121" s="256">
        <f t="shared" si="20"/>
        <v>0</v>
      </c>
      <c r="L121" s="256">
        <f t="shared" si="20"/>
        <v>0</v>
      </c>
      <c r="M121" s="256">
        <f t="shared" si="20"/>
        <v>0</v>
      </c>
      <c r="N121" s="256">
        <f t="shared" si="20"/>
        <v>399.10124999999999</v>
      </c>
      <c r="O121" s="256">
        <f t="shared" si="20"/>
        <v>0</v>
      </c>
      <c r="P121" s="256">
        <f t="shared" si="20"/>
        <v>0</v>
      </c>
      <c r="Q121" s="256">
        <f t="shared" si="15"/>
        <v>76161.613251314906</v>
      </c>
      <c r="R121" s="256">
        <f t="shared" si="16"/>
        <v>83656.83943463079</v>
      </c>
      <c r="S121" s="256">
        <f t="shared" si="18"/>
        <v>125782.03891494263</v>
      </c>
    </row>
    <row r="122" spans="1:19" x14ac:dyDescent="0.15">
      <c r="A122">
        <f t="shared" si="19"/>
        <v>10</v>
      </c>
      <c r="E122" t="s">
        <v>566</v>
      </c>
      <c r="F122" s="256"/>
      <c r="G122" s="256">
        <f t="shared" si="20"/>
        <v>25166.012315284617</v>
      </c>
      <c r="H122" s="256">
        <f t="shared" si="20"/>
        <v>14927.357407518604</v>
      </c>
      <c r="I122" s="256">
        <f t="shared" si="17"/>
        <v>33767.379717081079</v>
      </c>
      <c r="J122" s="256">
        <f t="shared" si="20"/>
        <v>4768.3668400000006</v>
      </c>
      <c r="K122" s="256">
        <f t="shared" si="20"/>
        <v>0</v>
      </c>
      <c r="L122" s="256">
        <f t="shared" si="20"/>
        <v>0</v>
      </c>
      <c r="M122" s="256">
        <f t="shared" si="20"/>
        <v>0</v>
      </c>
      <c r="N122" s="256">
        <f t="shared" si="20"/>
        <v>399.10124999999999</v>
      </c>
      <c r="O122" s="256">
        <f t="shared" si="20"/>
        <v>0</v>
      </c>
      <c r="P122" s="256">
        <f t="shared" si="20"/>
        <v>4628.6219047464892</v>
      </c>
      <c r="Q122" s="256">
        <f t="shared" si="15"/>
        <v>76161.613251314906</v>
      </c>
      <c r="R122" s="256">
        <f t="shared" si="16"/>
        <v>83656.83943463079</v>
      </c>
      <c r="S122" s="256">
        <f t="shared" si="18"/>
        <v>125782.03891494263</v>
      </c>
    </row>
    <row r="123" spans="1:19" x14ac:dyDescent="0.15">
      <c r="A123">
        <f t="shared" si="19"/>
        <v>10</v>
      </c>
      <c r="E123" t="s">
        <v>578</v>
      </c>
      <c r="F123" s="256"/>
      <c r="G123" s="256">
        <f t="shared" ref="G123:P138" si="21">SUMIFS(G$15:G$86,$D$15:$D$86,$A123,$A$15:$A$86,$E123)</f>
        <v>21511.733064216725</v>
      </c>
      <c r="H123" s="256">
        <f t="shared" si="21"/>
        <v>24016.249497649605</v>
      </c>
      <c r="I123" s="256">
        <f t="shared" si="17"/>
        <v>68688.222263076299</v>
      </c>
      <c r="J123" s="256">
        <f t="shared" si="21"/>
        <v>11166.732839999999</v>
      </c>
      <c r="K123" s="256">
        <f t="shared" si="21"/>
        <v>0</v>
      </c>
      <c r="L123" s="256">
        <f t="shared" si="21"/>
        <v>0</v>
      </c>
      <c r="M123" s="256">
        <f t="shared" si="21"/>
        <v>0</v>
      </c>
      <c r="N123" s="256">
        <f t="shared" si="21"/>
        <v>399.10124999999999</v>
      </c>
      <c r="O123" s="256">
        <f t="shared" si="21"/>
        <v>0</v>
      </c>
      <c r="P123" s="256">
        <f t="shared" si="21"/>
        <v>0</v>
      </c>
      <c r="Q123" s="256">
        <f t="shared" si="15"/>
        <v>76161.613251314906</v>
      </c>
      <c r="R123" s="256">
        <f t="shared" si="16"/>
        <v>83656.83943463079</v>
      </c>
      <c r="S123" s="256">
        <f t="shared" si="18"/>
        <v>125782.03891494263</v>
      </c>
    </row>
    <row r="124" spans="1:19" x14ac:dyDescent="0.15">
      <c r="A124">
        <f t="shared" si="19"/>
        <v>11</v>
      </c>
      <c r="D124">
        <f>E52</f>
        <v>2041</v>
      </c>
      <c r="E124" t="s">
        <v>563</v>
      </c>
      <c r="F124" s="256"/>
      <c r="G124" s="256">
        <f t="shared" si="21"/>
        <v>14140.969582800539</v>
      </c>
      <c r="H124" s="256">
        <f t="shared" si="21"/>
        <v>8600.4777991373412</v>
      </c>
      <c r="I124" s="256">
        <f t="shared" si="17"/>
        <v>43177.530607937195</v>
      </c>
      <c r="J124" s="256">
        <f t="shared" si="21"/>
        <v>6967.5498399999997</v>
      </c>
      <c r="K124" s="256">
        <f t="shared" si="21"/>
        <v>0</v>
      </c>
      <c r="L124" s="256">
        <f t="shared" si="21"/>
        <v>0</v>
      </c>
      <c r="M124" s="256">
        <f t="shared" si="21"/>
        <v>0</v>
      </c>
      <c r="N124" s="256">
        <f t="shared" si="21"/>
        <v>399.10124999999999</v>
      </c>
      <c r="O124" s="256">
        <f t="shared" si="21"/>
        <v>0</v>
      </c>
      <c r="P124" s="256">
        <f t="shared" si="21"/>
        <v>0</v>
      </c>
      <c r="Q124" s="256">
        <f t="shared" si="15"/>
        <v>73285.629079875071</v>
      </c>
      <c r="R124" s="256">
        <f t="shared" si="16"/>
        <v>79307.247111561519</v>
      </c>
      <c r="S124" s="256">
        <f t="shared" si="18"/>
        <v>122398.97429187209</v>
      </c>
    </row>
    <row r="125" spans="1:19" x14ac:dyDescent="0.15">
      <c r="A125">
        <f t="shared" si="19"/>
        <v>11</v>
      </c>
      <c r="E125" t="s">
        <v>566</v>
      </c>
      <c r="F125" s="256"/>
      <c r="G125" s="256">
        <f t="shared" si="21"/>
        <v>20404.688244568595</v>
      </c>
      <c r="H125" s="256">
        <f t="shared" si="21"/>
        <v>14927.357407518604</v>
      </c>
      <c r="I125" s="256">
        <f t="shared" si="17"/>
        <v>34105.053514251878</v>
      </c>
      <c r="J125" s="256">
        <f t="shared" si="21"/>
        <v>4768.3668400000006</v>
      </c>
      <c r="K125" s="256">
        <f t="shared" si="21"/>
        <v>0</v>
      </c>
      <c r="L125" s="256">
        <f t="shared" si="21"/>
        <v>0</v>
      </c>
      <c r="M125" s="256">
        <f t="shared" si="21"/>
        <v>0</v>
      </c>
      <c r="N125" s="256">
        <f t="shared" si="21"/>
        <v>399.10124999999999</v>
      </c>
      <c r="O125" s="256">
        <f t="shared" si="21"/>
        <v>0</v>
      </c>
      <c r="P125" s="256">
        <f t="shared" si="21"/>
        <v>4702.6798552224327</v>
      </c>
      <c r="Q125" s="256">
        <f t="shared" si="15"/>
        <v>73285.629079875071</v>
      </c>
      <c r="R125" s="256">
        <f t="shared" si="16"/>
        <v>79307.247111561519</v>
      </c>
      <c r="S125" s="256">
        <f t="shared" si="18"/>
        <v>122398.97429187209</v>
      </c>
    </row>
    <row r="126" spans="1:19" x14ac:dyDescent="0.15">
      <c r="A126">
        <f t="shared" si="19"/>
        <v>11</v>
      </c>
      <c r="E126" t="s">
        <v>578</v>
      </c>
      <c r="F126" s="256"/>
      <c r="G126" s="256">
        <f t="shared" si="21"/>
        <v>17441.786218515423</v>
      </c>
      <c r="H126" s="256">
        <f t="shared" si="21"/>
        <v>24016.249497649605</v>
      </c>
      <c r="I126" s="256">
        <f t="shared" si="17"/>
        <v>69375.104485707052</v>
      </c>
      <c r="J126" s="256">
        <f t="shared" si="21"/>
        <v>11166.732839999999</v>
      </c>
      <c r="K126" s="256">
        <f t="shared" si="21"/>
        <v>0</v>
      </c>
      <c r="L126" s="256">
        <f t="shared" si="21"/>
        <v>0</v>
      </c>
      <c r="M126" s="256">
        <f t="shared" si="21"/>
        <v>0</v>
      </c>
      <c r="N126" s="256">
        <f t="shared" si="21"/>
        <v>399.10124999999999</v>
      </c>
      <c r="O126" s="256">
        <f t="shared" si="21"/>
        <v>0</v>
      </c>
      <c r="P126" s="256">
        <f t="shared" si="21"/>
        <v>0</v>
      </c>
      <c r="Q126" s="256">
        <f t="shared" si="15"/>
        <v>73285.629079875071</v>
      </c>
      <c r="R126" s="256">
        <f t="shared" si="16"/>
        <v>79307.247111561519</v>
      </c>
      <c r="S126" s="256">
        <f t="shared" si="18"/>
        <v>122398.97429187209</v>
      </c>
    </row>
    <row r="127" spans="1:19" x14ac:dyDescent="0.15">
      <c r="A127">
        <f t="shared" si="19"/>
        <v>12</v>
      </c>
      <c r="D127">
        <f>E53</f>
        <v>2042</v>
      </c>
      <c r="E127" t="s">
        <v>563</v>
      </c>
      <c r="F127" s="256"/>
      <c r="G127" s="256">
        <f t="shared" si="21"/>
        <v>11465.546157971377</v>
      </c>
      <c r="H127" s="256">
        <f t="shared" si="21"/>
        <v>8600.4777991373412</v>
      </c>
      <c r="I127" s="256">
        <f t="shared" si="17"/>
        <v>43605.502852505342</v>
      </c>
      <c r="J127" s="256">
        <f t="shared" si="21"/>
        <v>6967.5498399999997</v>
      </c>
      <c r="K127" s="256">
        <f t="shared" si="21"/>
        <v>0</v>
      </c>
      <c r="L127" s="256">
        <f t="shared" si="21"/>
        <v>0</v>
      </c>
      <c r="M127" s="256">
        <f t="shared" si="21"/>
        <v>0</v>
      </c>
      <c r="N127" s="256">
        <f t="shared" si="21"/>
        <v>399.10124999999999</v>
      </c>
      <c r="O127" s="256">
        <f t="shared" si="21"/>
        <v>0</v>
      </c>
      <c r="P127" s="256">
        <f t="shared" si="21"/>
        <v>0</v>
      </c>
      <c r="Q127" s="256">
        <f t="shared" si="15"/>
        <v>71038.177899614064</v>
      </c>
      <c r="R127" s="256">
        <f t="shared" si="16"/>
        <v>75863.0427992349</v>
      </c>
      <c r="S127" s="256">
        <f t="shared" si="18"/>
        <v>119792.7986134134</v>
      </c>
    </row>
    <row r="128" spans="1:19" x14ac:dyDescent="0.15">
      <c r="A128">
        <f t="shared" si="19"/>
        <v>12</v>
      </c>
      <c r="E128" t="s">
        <v>566</v>
      </c>
      <c r="F128" s="256"/>
      <c r="G128" s="256">
        <f t="shared" si="21"/>
        <v>16544.190519415894</v>
      </c>
      <c r="H128" s="256">
        <f t="shared" si="21"/>
        <v>14927.357407518604</v>
      </c>
      <c r="I128" s="256">
        <f t="shared" si="17"/>
        <v>34446.104049394402</v>
      </c>
      <c r="J128" s="256">
        <f t="shared" si="21"/>
        <v>4768.3668400000006</v>
      </c>
      <c r="K128" s="256">
        <f t="shared" si="21"/>
        <v>0</v>
      </c>
      <c r="L128" s="256">
        <f t="shared" si="21"/>
        <v>0</v>
      </c>
      <c r="M128" s="256">
        <f t="shared" si="21"/>
        <v>0</v>
      </c>
      <c r="N128" s="256">
        <f t="shared" si="21"/>
        <v>399.10124999999999</v>
      </c>
      <c r="O128" s="256">
        <f t="shared" si="21"/>
        <v>0</v>
      </c>
      <c r="P128" s="256">
        <f t="shared" si="21"/>
        <v>4777.9227329059913</v>
      </c>
      <c r="Q128" s="256">
        <f t="shared" si="15"/>
        <v>71038.177899614064</v>
      </c>
      <c r="R128" s="256">
        <f t="shared" si="16"/>
        <v>75863.0427992349</v>
      </c>
      <c r="S128" s="256">
        <f t="shared" si="18"/>
        <v>119792.7986134134</v>
      </c>
    </row>
    <row r="129" spans="1:19" x14ac:dyDescent="0.15">
      <c r="A129">
        <f t="shared" si="19"/>
        <v>12</v>
      </c>
      <c r="E129" t="s">
        <v>578</v>
      </c>
      <c r="F129" s="256"/>
      <c r="G129" s="256">
        <f t="shared" si="21"/>
        <v>14141.859495199677</v>
      </c>
      <c r="H129" s="256">
        <f t="shared" si="21"/>
        <v>24016.249497649605</v>
      </c>
      <c r="I129" s="256">
        <f t="shared" si="17"/>
        <v>70068.85553056412</v>
      </c>
      <c r="J129" s="256">
        <f t="shared" si="21"/>
        <v>11166.732839999999</v>
      </c>
      <c r="K129" s="256">
        <f t="shared" si="21"/>
        <v>0</v>
      </c>
      <c r="L129" s="256">
        <f t="shared" si="21"/>
        <v>0</v>
      </c>
      <c r="M129" s="256">
        <f t="shared" si="21"/>
        <v>0</v>
      </c>
      <c r="N129" s="256">
        <f t="shared" si="21"/>
        <v>399.10124999999999</v>
      </c>
      <c r="O129" s="256">
        <f t="shared" si="21"/>
        <v>0</v>
      </c>
      <c r="P129" s="256">
        <f t="shared" si="21"/>
        <v>0</v>
      </c>
      <c r="Q129" s="256">
        <f t="shared" si="15"/>
        <v>71038.177899614064</v>
      </c>
      <c r="R129" s="256">
        <f t="shared" si="16"/>
        <v>75863.0427992349</v>
      </c>
      <c r="S129" s="256">
        <f t="shared" si="18"/>
        <v>119792.7986134134</v>
      </c>
    </row>
    <row r="130" spans="1:19" x14ac:dyDescent="0.15">
      <c r="A130">
        <f t="shared" si="19"/>
        <v>13</v>
      </c>
      <c r="D130">
        <f>E54</f>
        <v>2043</v>
      </c>
      <c r="E130" t="s">
        <v>563</v>
      </c>
      <c r="F130" s="256"/>
      <c r="G130" s="256">
        <f t="shared" si="21"/>
        <v>9296.3037598541978</v>
      </c>
      <c r="H130" s="256">
        <f t="shared" si="21"/>
        <v>8600.4777991373412</v>
      </c>
      <c r="I130" s="256">
        <f t="shared" si="17"/>
        <v>44037.754819519178</v>
      </c>
      <c r="J130" s="256">
        <f t="shared" si="21"/>
        <v>6967.5498399999997</v>
      </c>
      <c r="K130" s="256">
        <f t="shared" si="21"/>
        <v>0</v>
      </c>
      <c r="L130" s="256">
        <f t="shared" si="21"/>
        <v>0</v>
      </c>
      <c r="M130" s="256">
        <f t="shared" si="21"/>
        <v>0</v>
      </c>
      <c r="N130" s="256">
        <f t="shared" si="21"/>
        <v>399.10124999999999</v>
      </c>
      <c r="O130" s="256">
        <f t="shared" si="21"/>
        <v>0</v>
      </c>
      <c r="P130" s="256">
        <f t="shared" si="21"/>
        <v>0</v>
      </c>
      <c r="Q130" s="256">
        <f t="shared" si="15"/>
        <v>69301.187468510732</v>
      </c>
      <c r="R130" s="256">
        <f t="shared" si="16"/>
        <v>73153.845938332684</v>
      </c>
      <c r="S130" s="256">
        <f t="shared" si="18"/>
        <v>117817.89537548598</v>
      </c>
    </row>
    <row r="131" spans="1:19" x14ac:dyDescent="0.15">
      <c r="A131">
        <f t="shared" si="19"/>
        <v>13</v>
      </c>
      <c r="E131" t="s">
        <v>566</v>
      </c>
      <c r="F131" s="256"/>
      <c r="G131" s="256">
        <f t="shared" si="21"/>
        <v>13414.085854293246</v>
      </c>
      <c r="H131" s="256">
        <f t="shared" si="21"/>
        <v>14927.357407518604</v>
      </c>
      <c r="I131" s="256">
        <f t="shared" si="17"/>
        <v>34790.565089888347</v>
      </c>
      <c r="J131" s="256">
        <f t="shared" si="21"/>
        <v>4768.3668400000006</v>
      </c>
      <c r="K131" s="256">
        <f t="shared" si="21"/>
        <v>0</v>
      </c>
      <c r="L131" s="256">
        <f t="shared" si="21"/>
        <v>0</v>
      </c>
      <c r="M131" s="256">
        <f t="shared" si="21"/>
        <v>0</v>
      </c>
      <c r="N131" s="256">
        <f t="shared" si="21"/>
        <v>399.10124999999999</v>
      </c>
      <c r="O131" s="256">
        <f t="shared" si="21"/>
        <v>0</v>
      </c>
      <c r="P131" s="256">
        <f t="shared" si="21"/>
        <v>4854.3694966324874</v>
      </c>
      <c r="Q131" s="256">
        <f t="shared" si="15"/>
        <v>69301.187468510732</v>
      </c>
      <c r="R131" s="256">
        <f t="shared" si="16"/>
        <v>73153.845938332684</v>
      </c>
      <c r="S131" s="256">
        <f t="shared" si="18"/>
        <v>117817.89537548598</v>
      </c>
    </row>
    <row r="132" spans="1:19" x14ac:dyDescent="0.15">
      <c r="A132">
        <f t="shared" si="19"/>
        <v>13</v>
      </c>
      <c r="E132" t="s">
        <v>578</v>
      </c>
      <c r="F132" s="256"/>
      <c r="G132" s="256">
        <f t="shared" si="21"/>
        <v>11466.267701966608</v>
      </c>
      <c r="H132" s="256">
        <f t="shared" si="21"/>
        <v>24016.249497649605</v>
      </c>
      <c r="I132" s="256">
        <f t="shared" si="17"/>
        <v>70769.544085869769</v>
      </c>
      <c r="J132" s="256">
        <f t="shared" si="21"/>
        <v>11166.732839999999</v>
      </c>
      <c r="K132" s="256">
        <f t="shared" si="21"/>
        <v>0</v>
      </c>
      <c r="L132" s="256">
        <f t="shared" si="21"/>
        <v>0</v>
      </c>
      <c r="M132" s="256">
        <f t="shared" si="21"/>
        <v>0</v>
      </c>
      <c r="N132" s="256">
        <f t="shared" si="21"/>
        <v>399.10124999999999</v>
      </c>
      <c r="O132" s="256">
        <f t="shared" si="21"/>
        <v>0</v>
      </c>
      <c r="P132" s="256">
        <f t="shared" si="21"/>
        <v>0</v>
      </c>
      <c r="Q132" s="256">
        <f t="shared" si="15"/>
        <v>69301.187468510732</v>
      </c>
      <c r="R132" s="256">
        <f t="shared" si="16"/>
        <v>73153.845938332684</v>
      </c>
      <c r="S132" s="256">
        <f t="shared" si="18"/>
        <v>117817.89537548598</v>
      </c>
    </row>
    <row r="133" spans="1:19" x14ac:dyDescent="0.15">
      <c r="A133">
        <f t="shared" si="19"/>
        <v>14</v>
      </c>
      <c r="D133">
        <f>E55</f>
        <v>2044</v>
      </c>
      <c r="E133" t="s">
        <v>563</v>
      </c>
      <c r="F133" s="256"/>
      <c r="G133" s="256">
        <f t="shared" si="21"/>
        <v>33075.19596773661</v>
      </c>
      <c r="H133" s="256">
        <f t="shared" si="21"/>
        <v>8600.4777991373412</v>
      </c>
      <c r="I133" s="256">
        <f t="shared" si="17"/>
        <v>44474.329306203152</v>
      </c>
      <c r="J133" s="256">
        <f t="shared" si="21"/>
        <v>6967.5498399999997</v>
      </c>
      <c r="K133" s="256">
        <f t="shared" si="21"/>
        <v>0</v>
      </c>
      <c r="L133" s="256">
        <f t="shared" si="21"/>
        <v>0</v>
      </c>
      <c r="M133" s="256">
        <f t="shared" si="21"/>
        <v>0</v>
      </c>
      <c r="N133" s="256">
        <f t="shared" si="21"/>
        <v>399.10124999999999</v>
      </c>
      <c r="O133" s="256">
        <f t="shared" si="21"/>
        <v>0</v>
      </c>
      <c r="P133" s="256">
        <f t="shared" si="21"/>
        <v>0</v>
      </c>
      <c r="Q133" s="256">
        <f t="shared" si="15"/>
        <v>93516.654163077095</v>
      </c>
      <c r="R133" s="256">
        <f t="shared" si="16"/>
        <v>110317.83226274095</v>
      </c>
      <c r="S133" s="256">
        <f t="shared" si="18"/>
        <v>150472.19082790829</v>
      </c>
    </row>
    <row r="134" spans="1:19" x14ac:dyDescent="0.15">
      <c r="A134">
        <f t="shared" si="19"/>
        <v>14</v>
      </c>
      <c r="E134" t="s">
        <v>566</v>
      </c>
      <c r="F134" s="256"/>
      <c r="G134" s="256">
        <f t="shared" si="21"/>
        <v>50152.496615856493</v>
      </c>
      <c r="H134" s="256">
        <f t="shared" si="21"/>
        <v>14927.357407518604</v>
      </c>
      <c r="I134" s="256">
        <f t="shared" si="17"/>
        <v>35138.470740787234</v>
      </c>
      <c r="J134" s="256">
        <f t="shared" si="21"/>
        <v>4768.3668400000006</v>
      </c>
      <c r="K134" s="256">
        <f t="shared" si="21"/>
        <v>0</v>
      </c>
      <c r="L134" s="256">
        <f t="shared" si="21"/>
        <v>0</v>
      </c>
      <c r="M134" s="256">
        <f t="shared" si="21"/>
        <v>0</v>
      </c>
      <c r="N134" s="256">
        <f t="shared" si="21"/>
        <v>399.10124999999999</v>
      </c>
      <c r="O134" s="256">
        <f t="shared" si="21"/>
        <v>0</v>
      </c>
      <c r="P134" s="256">
        <f t="shared" si="21"/>
        <v>4932.0394085786074</v>
      </c>
      <c r="Q134" s="256">
        <f t="shared" si="15"/>
        <v>93516.654163077095</v>
      </c>
      <c r="R134" s="256">
        <f t="shared" si="16"/>
        <v>110317.83226274095</v>
      </c>
      <c r="S134" s="256">
        <f t="shared" si="18"/>
        <v>150472.19082790829</v>
      </c>
    </row>
    <row r="135" spans="1:19" x14ac:dyDescent="0.15">
      <c r="A135">
        <f t="shared" si="19"/>
        <v>14</v>
      </c>
      <c r="E135" t="s">
        <v>578</v>
      </c>
      <c r="F135" s="256"/>
      <c r="G135" s="256">
        <f t="shared" si="21"/>
        <v>43412.867713530191</v>
      </c>
      <c r="H135" s="256">
        <f t="shared" si="21"/>
        <v>24016.249497649605</v>
      </c>
      <c r="I135" s="256">
        <f t="shared" si="17"/>
        <v>71477.239526728474</v>
      </c>
      <c r="J135" s="256">
        <f t="shared" si="21"/>
        <v>11166.732839999999</v>
      </c>
      <c r="K135" s="256">
        <f t="shared" si="21"/>
        <v>0</v>
      </c>
      <c r="L135" s="256">
        <f t="shared" si="21"/>
        <v>0</v>
      </c>
      <c r="M135" s="256">
        <f t="shared" si="21"/>
        <v>0</v>
      </c>
      <c r="N135" s="256">
        <f t="shared" si="21"/>
        <v>399.10124999999999</v>
      </c>
      <c r="O135" s="256">
        <f t="shared" si="21"/>
        <v>0</v>
      </c>
      <c r="P135" s="256">
        <f t="shared" si="21"/>
        <v>0</v>
      </c>
      <c r="Q135" s="256">
        <f t="shared" si="15"/>
        <v>93516.654163077095</v>
      </c>
      <c r="R135" s="256">
        <f t="shared" si="16"/>
        <v>110317.83226274095</v>
      </c>
      <c r="S135" s="256">
        <f t="shared" si="18"/>
        <v>150472.19082790829</v>
      </c>
    </row>
    <row r="136" spans="1:19" x14ac:dyDescent="0.15">
      <c r="A136">
        <f t="shared" si="19"/>
        <v>15</v>
      </c>
      <c r="D136">
        <f>E56</f>
        <v>2045</v>
      </c>
      <c r="E136" t="s">
        <v>563</v>
      </c>
      <c r="F136" s="256"/>
      <c r="G136" s="256">
        <f t="shared" si="21"/>
        <v>27279.540835853099</v>
      </c>
      <c r="H136" s="256">
        <f t="shared" si="21"/>
        <v>8600.4777991373412</v>
      </c>
      <c r="I136" s="256">
        <f t="shared" si="17"/>
        <v>44915.269537753942</v>
      </c>
      <c r="J136" s="256">
        <f t="shared" si="21"/>
        <v>6967.5498399999997</v>
      </c>
      <c r="K136" s="256">
        <f t="shared" si="21"/>
        <v>0</v>
      </c>
      <c r="L136" s="256">
        <f t="shared" si="21"/>
        <v>0</v>
      </c>
      <c r="M136" s="256">
        <f t="shared" si="21"/>
        <v>0</v>
      </c>
      <c r="N136" s="256">
        <f t="shared" si="21"/>
        <v>399.10124999999999</v>
      </c>
      <c r="O136" s="256">
        <f t="shared" si="21"/>
        <v>0</v>
      </c>
      <c r="P136" s="256">
        <f t="shared" si="21"/>
        <v>0</v>
      </c>
      <c r="Q136" s="256">
        <f t="shared" si="15"/>
        <v>88161.939262744389</v>
      </c>
      <c r="R136" s="256">
        <f t="shared" si="16"/>
        <v>101960.07662370623</v>
      </c>
      <c r="S136" s="256">
        <f t="shared" si="18"/>
        <v>143579.87270739657</v>
      </c>
    </row>
    <row r="137" spans="1:19" x14ac:dyDescent="0.15">
      <c r="A137">
        <f t="shared" si="19"/>
        <v>15</v>
      </c>
      <c r="E137" t="s">
        <v>566</v>
      </c>
      <c r="F137" s="256"/>
      <c r="G137" s="256">
        <f t="shared" si="21"/>
        <v>41364.443638876663</v>
      </c>
      <c r="H137" s="256">
        <f t="shared" si="21"/>
        <v>14927.357407518604</v>
      </c>
      <c r="I137" s="256">
        <f t="shared" si="17"/>
        <v>35489.8554481951</v>
      </c>
      <c r="J137" s="256">
        <f t="shared" si="21"/>
        <v>4768.3668400000006</v>
      </c>
      <c r="K137" s="256">
        <f t="shared" si="21"/>
        <v>0</v>
      </c>
      <c r="L137" s="256">
        <f t="shared" si="21"/>
        <v>0</v>
      </c>
      <c r="M137" s="256">
        <f t="shared" si="21"/>
        <v>0</v>
      </c>
      <c r="N137" s="256">
        <f t="shared" si="21"/>
        <v>399.10124999999999</v>
      </c>
      <c r="O137" s="256">
        <f t="shared" si="21"/>
        <v>0</v>
      </c>
      <c r="P137" s="256">
        <f t="shared" si="21"/>
        <v>5010.9520391158649</v>
      </c>
      <c r="Q137" s="256">
        <f t="shared" si="15"/>
        <v>88161.939262744389</v>
      </c>
      <c r="R137" s="256">
        <f t="shared" si="16"/>
        <v>101960.07662370623</v>
      </c>
      <c r="S137" s="256">
        <f t="shared" si="18"/>
        <v>143579.87270739657</v>
      </c>
    </row>
    <row r="138" spans="1:19" x14ac:dyDescent="0.15">
      <c r="A138">
        <f t="shared" si="19"/>
        <v>15</v>
      </c>
      <c r="E138" t="s">
        <v>578</v>
      </c>
      <c r="F138" s="256"/>
      <c r="G138" s="256">
        <f t="shared" si="21"/>
        <v>35805.777197751187</v>
      </c>
      <c r="H138" s="256">
        <f t="shared" si="21"/>
        <v>24016.249497649605</v>
      </c>
      <c r="I138" s="256">
        <f t="shared" si="17"/>
        <v>72192.011921995741</v>
      </c>
      <c r="J138" s="256">
        <f t="shared" si="21"/>
        <v>11166.732839999999</v>
      </c>
      <c r="K138" s="256">
        <f t="shared" si="21"/>
        <v>0</v>
      </c>
      <c r="L138" s="256">
        <f t="shared" si="21"/>
        <v>0</v>
      </c>
      <c r="M138" s="256">
        <f t="shared" si="21"/>
        <v>0</v>
      </c>
      <c r="N138" s="256">
        <f t="shared" si="21"/>
        <v>399.10124999999999</v>
      </c>
      <c r="O138" s="256">
        <f t="shared" si="21"/>
        <v>0</v>
      </c>
      <c r="P138" s="256">
        <f t="shared" si="21"/>
        <v>0</v>
      </c>
      <c r="Q138" s="256">
        <f t="shared" si="15"/>
        <v>88161.939262744389</v>
      </c>
      <c r="R138" s="256">
        <f t="shared" si="16"/>
        <v>101960.07662370623</v>
      </c>
      <c r="S138" s="256">
        <f t="shared" si="18"/>
        <v>143579.87270739657</v>
      </c>
    </row>
    <row r="139" spans="1:19" x14ac:dyDescent="0.15">
      <c r="A139">
        <f t="shared" si="19"/>
        <v>16</v>
      </c>
      <c r="D139">
        <f>E57</f>
        <v>2046</v>
      </c>
      <c r="E139" t="s">
        <v>563</v>
      </c>
      <c r="F139" s="256"/>
      <c r="G139" s="256">
        <f t="shared" ref="G139:P150" si="22">SUMIFS(G$15:G$86,$D$15:$D$86,$A139,$A$15:$A$86,$E139)</f>
        <v>22118.344346215341</v>
      </c>
      <c r="H139" s="256">
        <f t="shared" si="22"/>
        <v>8600.4777991373412</v>
      </c>
      <c r="I139" s="256">
        <f t="shared" si="17"/>
        <v>45360.619171620274</v>
      </c>
      <c r="J139" s="256">
        <f t="shared" si="22"/>
        <v>6967.5498399999997</v>
      </c>
      <c r="K139" s="256">
        <f t="shared" si="22"/>
        <v>0</v>
      </c>
      <c r="L139" s="256">
        <f t="shared" si="22"/>
        <v>0</v>
      </c>
      <c r="M139" s="256">
        <f t="shared" si="22"/>
        <v>0</v>
      </c>
      <c r="N139" s="256">
        <f t="shared" si="22"/>
        <v>399.10124999999999</v>
      </c>
      <c r="O139" s="256">
        <f t="shared" si="22"/>
        <v>0</v>
      </c>
      <c r="P139" s="256">
        <f t="shared" si="22"/>
        <v>0</v>
      </c>
      <c r="Q139" s="256">
        <f t="shared" si="15"/>
        <v>83446.092406972952</v>
      </c>
      <c r="R139" s="256">
        <f t="shared" si="16"/>
        <v>94569.138140688068</v>
      </c>
      <c r="S139" s="256">
        <f t="shared" si="18"/>
        <v>137527.46137090141</v>
      </c>
    </row>
    <row r="140" spans="1:19" x14ac:dyDescent="0.15">
      <c r="A140">
        <f t="shared" si="19"/>
        <v>16</v>
      </c>
      <c r="E140" t="s">
        <v>566</v>
      </c>
      <c r="F140" s="256"/>
      <c r="G140" s="256">
        <f t="shared" si="22"/>
        <v>33538.43136875068</v>
      </c>
      <c r="H140" s="256">
        <f t="shared" si="22"/>
        <v>14927.357407518604</v>
      </c>
      <c r="I140" s="256">
        <f t="shared" si="17"/>
        <v>35844.754002677058</v>
      </c>
      <c r="J140" s="256">
        <f t="shared" si="22"/>
        <v>4768.3668400000006</v>
      </c>
      <c r="K140" s="256">
        <f t="shared" si="22"/>
        <v>0</v>
      </c>
      <c r="L140" s="256">
        <f t="shared" si="22"/>
        <v>0</v>
      </c>
      <c r="M140" s="256">
        <f t="shared" si="22"/>
        <v>0</v>
      </c>
      <c r="N140" s="256">
        <f t="shared" si="22"/>
        <v>399.10124999999999</v>
      </c>
      <c r="O140" s="256">
        <f t="shared" si="22"/>
        <v>0</v>
      </c>
      <c r="P140" s="256">
        <f t="shared" si="22"/>
        <v>5091.1272717417187</v>
      </c>
      <c r="Q140" s="256">
        <f t="shared" si="15"/>
        <v>83446.092406972952</v>
      </c>
      <c r="R140" s="256">
        <f t="shared" si="16"/>
        <v>94569.138140688068</v>
      </c>
      <c r="S140" s="256">
        <f t="shared" si="18"/>
        <v>137527.46137090141</v>
      </c>
    </row>
    <row r="141" spans="1:19" x14ac:dyDescent="0.15">
      <c r="A141">
        <f t="shared" si="19"/>
        <v>16</v>
      </c>
      <c r="E141" t="s">
        <v>578</v>
      </c>
      <c r="F141" s="256"/>
      <c r="G141" s="256">
        <f t="shared" si="22"/>
        <v>29031.445742036052</v>
      </c>
      <c r="H141" s="256">
        <f t="shared" si="22"/>
        <v>24016.249497649605</v>
      </c>
      <c r="I141" s="256">
        <f t="shared" si="17"/>
        <v>72913.932041215725</v>
      </c>
      <c r="J141" s="256">
        <f t="shared" si="22"/>
        <v>11166.732839999999</v>
      </c>
      <c r="K141" s="256">
        <f t="shared" si="22"/>
        <v>0</v>
      </c>
      <c r="L141" s="256">
        <f t="shared" si="22"/>
        <v>0</v>
      </c>
      <c r="M141" s="256">
        <f t="shared" si="22"/>
        <v>0</v>
      </c>
      <c r="N141" s="256">
        <f t="shared" si="22"/>
        <v>399.10124999999999</v>
      </c>
      <c r="O141" s="256">
        <f t="shared" si="22"/>
        <v>0</v>
      </c>
      <c r="P141" s="256">
        <f t="shared" si="22"/>
        <v>0</v>
      </c>
      <c r="Q141" s="256">
        <f t="shared" si="15"/>
        <v>83446.092406972952</v>
      </c>
      <c r="R141" s="256">
        <f t="shared" si="16"/>
        <v>94569.138140688068</v>
      </c>
      <c r="S141" s="256">
        <f t="shared" si="18"/>
        <v>137527.46137090141</v>
      </c>
    </row>
    <row r="142" spans="1:19" x14ac:dyDescent="0.15">
      <c r="A142">
        <f t="shared" si="19"/>
        <v>17</v>
      </c>
      <c r="D142">
        <f>E58</f>
        <v>2047</v>
      </c>
      <c r="E142" t="s">
        <v>563</v>
      </c>
      <c r="F142" s="256"/>
      <c r="G142" s="256">
        <f t="shared" si="22"/>
        <v>17933.628705904724</v>
      </c>
      <c r="H142" s="256">
        <f t="shared" si="22"/>
        <v>8600.4777991373412</v>
      </c>
      <c r="I142" s="256">
        <f t="shared" si="17"/>
        <v>45810.422301825252</v>
      </c>
      <c r="J142" s="256">
        <f t="shared" si="22"/>
        <v>6967.5498399999997</v>
      </c>
      <c r="K142" s="256">
        <f t="shared" si="22"/>
        <v>0</v>
      </c>
      <c r="L142" s="256">
        <f t="shared" si="22"/>
        <v>0</v>
      </c>
      <c r="M142" s="256">
        <f t="shared" si="22"/>
        <v>0</v>
      </c>
      <c r="N142" s="256">
        <f t="shared" si="22"/>
        <v>399.10124999999999</v>
      </c>
      <c r="O142" s="256">
        <f t="shared" si="22"/>
        <v>0</v>
      </c>
      <c r="P142" s="256">
        <f t="shared" si="22"/>
        <v>0</v>
      </c>
      <c r="Q142" s="256">
        <f t="shared" si="15"/>
        <v>79711.17989686731</v>
      </c>
      <c r="R142" s="256">
        <f t="shared" si="16"/>
        <v>88663.686392688192</v>
      </c>
      <c r="S142" s="256">
        <f t="shared" si="18"/>
        <v>132763.94974258577</v>
      </c>
    </row>
    <row r="143" spans="1:19" x14ac:dyDescent="0.15">
      <c r="A143">
        <f t="shared" si="19"/>
        <v>17</v>
      </c>
      <c r="E143" t="s">
        <v>566</v>
      </c>
      <c r="F143" s="256"/>
      <c r="G143" s="256">
        <f t="shared" si="22"/>
        <v>27193.074044376164</v>
      </c>
      <c r="H143" s="256">
        <f t="shared" si="22"/>
        <v>14927.357407518604</v>
      </c>
      <c r="I143" s="256">
        <f t="shared" si="17"/>
        <v>36203.201542703828</v>
      </c>
      <c r="J143" s="256">
        <f t="shared" si="22"/>
        <v>4768.3668400000006</v>
      </c>
      <c r="K143" s="256">
        <f t="shared" si="22"/>
        <v>0</v>
      </c>
      <c r="L143" s="256">
        <f t="shared" si="22"/>
        <v>0</v>
      </c>
      <c r="M143" s="256">
        <f t="shared" si="22"/>
        <v>0</v>
      </c>
      <c r="N143" s="256">
        <f t="shared" si="22"/>
        <v>399.10124999999999</v>
      </c>
      <c r="O143" s="256">
        <f t="shared" si="22"/>
        <v>0</v>
      </c>
      <c r="P143" s="256">
        <f t="shared" si="22"/>
        <v>5172.5853080895868</v>
      </c>
      <c r="Q143" s="256">
        <f t="shared" si="15"/>
        <v>79711.17989686731</v>
      </c>
      <c r="R143" s="256">
        <f t="shared" si="16"/>
        <v>88663.686392688192</v>
      </c>
      <c r="S143" s="256">
        <f t="shared" si="18"/>
        <v>132763.94974258577</v>
      </c>
    </row>
    <row r="144" spans="1:19" x14ac:dyDescent="0.15">
      <c r="A144">
        <f t="shared" si="19"/>
        <v>17</v>
      </c>
      <c r="E144" t="s">
        <v>578</v>
      </c>
      <c r="F144" s="256"/>
      <c r="G144" s="256">
        <f t="shared" si="22"/>
        <v>23538.79479330828</v>
      </c>
      <c r="H144" s="256">
        <f t="shared" si="22"/>
        <v>24016.249497649605</v>
      </c>
      <c r="I144" s="256">
        <f t="shared" si="17"/>
        <v>73643.071361627881</v>
      </c>
      <c r="J144" s="256">
        <f t="shared" si="22"/>
        <v>11166.732839999999</v>
      </c>
      <c r="K144" s="256">
        <f t="shared" si="22"/>
        <v>0</v>
      </c>
      <c r="L144" s="256">
        <f t="shared" si="22"/>
        <v>0</v>
      </c>
      <c r="M144" s="256">
        <f t="shared" si="22"/>
        <v>0</v>
      </c>
      <c r="N144" s="256">
        <f t="shared" si="22"/>
        <v>399.10124999999999</v>
      </c>
      <c r="O144" s="256">
        <f t="shared" si="22"/>
        <v>0</v>
      </c>
      <c r="P144" s="256">
        <f t="shared" si="22"/>
        <v>0</v>
      </c>
      <c r="Q144" s="256">
        <f t="shared" si="15"/>
        <v>79711.17989686731</v>
      </c>
      <c r="R144" s="256">
        <f t="shared" si="16"/>
        <v>88663.686392688192</v>
      </c>
      <c r="S144" s="256">
        <f t="shared" si="18"/>
        <v>132763.94974258577</v>
      </c>
    </row>
    <row r="145" spans="1:19" x14ac:dyDescent="0.15">
      <c r="A145">
        <f t="shared" si="19"/>
        <v>18</v>
      </c>
      <c r="D145">
        <f>E59</f>
        <v>2048</v>
      </c>
      <c r="E145" t="s">
        <v>563</v>
      </c>
      <c r="F145" s="256"/>
      <c r="G145" s="256">
        <f t="shared" si="22"/>
        <v>14540.647054185212</v>
      </c>
      <c r="H145" s="256">
        <f t="shared" si="22"/>
        <v>8600.4777991373412</v>
      </c>
      <c r="I145" s="256">
        <f t="shared" si="17"/>
        <v>46264.723463332281</v>
      </c>
      <c r="J145" s="256">
        <f t="shared" si="22"/>
        <v>6967.5498399999997</v>
      </c>
      <c r="K145" s="256">
        <f t="shared" si="22"/>
        <v>0</v>
      </c>
      <c r="L145" s="256">
        <f t="shared" si="22"/>
        <v>0</v>
      </c>
      <c r="M145" s="256">
        <f t="shared" si="22"/>
        <v>0</v>
      </c>
      <c r="N145" s="256">
        <f t="shared" si="22"/>
        <v>399.10124999999999</v>
      </c>
      <c r="O145" s="256">
        <f t="shared" si="22"/>
        <v>0</v>
      </c>
      <c r="P145" s="256">
        <f t="shared" si="22"/>
        <v>0</v>
      </c>
      <c r="Q145" s="256">
        <f t="shared" si="15"/>
        <v>76772.499406654824</v>
      </c>
      <c r="R145" s="256">
        <f t="shared" si="16"/>
        <v>83963.642506728356</v>
      </c>
      <c r="S145" s="256">
        <f t="shared" si="18"/>
        <v>129046.92041490047</v>
      </c>
    </row>
    <row r="146" spans="1:19" x14ac:dyDescent="0.15">
      <c r="A146">
        <f t="shared" si="19"/>
        <v>18</v>
      </c>
      <c r="E146" t="s">
        <v>566</v>
      </c>
      <c r="F146" s="256"/>
      <c r="G146" s="256">
        <f t="shared" si="22"/>
        <v>22048.236778059862</v>
      </c>
      <c r="H146" s="256">
        <f t="shared" si="22"/>
        <v>14927.357407518604</v>
      </c>
      <c r="I146" s="256">
        <f t="shared" si="17"/>
        <v>36565.233558130873</v>
      </c>
      <c r="J146" s="256">
        <f t="shared" si="22"/>
        <v>4768.3668400000006</v>
      </c>
      <c r="K146" s="256">
        <f t="shared" si="22"/>
        <v>0</v>
      </c>
      <c r="L146" s="256">
        <f t="shared" si="22"/>
        <v>0</v>
      </c>
      <c r="M146" s="256">
        <f t="shared" si="22"/>
        <v>0</v>
      </c>
      <c r="N146" s="256">
        <f t="shared" si="22"/>
        <v>399.10124999999999</v>
      </c>
      <c r="O146" s="256">
        <f t="shared" si="22"/>
        <v>0</v>
      </c>
      <c r="P146" s="256">
        <f t="shared" si="22"/>
        <v>5255.3466730190194</v>
      </c>
      <c r="Q146" s="256">
        <f t="shared" si="15"/>
        <v>76772.499406654824</v>
      </c>
      <c r="R146" s="256">
        <f t="shared" si="16"/>
        <v>83963.642506728356</v>
      </c>
      <c r="S146" s="256">
        <f t="shared" si="18"/>
        <v>129046.92041490047</v>
      </c>
    </row>
    <row r="147" spans="1:19" x14ac:dyDescent="0.15">
      <c r="A147">
        <f t="shared" si="19"/>
        <v>18</v>
      </c>
      <c r="E147" t="s">
        <v>578</v>
      </c>
      <c r="F147" s="256"/>
      <c r="G147" s="256">
        <f t="shared" si="22"/>
        <v>19085.334752006693</v>
      </c>
      <c r="H147" s="256">
        <f t="shared" si="22"/>
        <v>24016.249497649605</v>
      </c>
      <c r="I147" s="256">
        <f t="shared" si="17"/>
        <v>74379.502075244163</v>
      </c>
      <c r="J147" s="256">
        <f t="shared" si="22"/>
        <v>11166.732839999999</v>
      </c>
      <c r="K147" s="256">
        <f t="shared" si="22"/>
        <v>0</v>
      </c>
      <c r="L147" s="256">
        <f t="shared" si="22"/>
        <v>0</v>
      </c>
      <c r="M147" s="256">
        <f t="shared" si="22"/>
        <v>0</v>
      </c>
      <c r="N147" s="256">
        <f t="shared" si="22"/>
        <v>399.10124999999999</v>
      </c>
      <c r="O147" s="256">
        <f t="shared" si="22"/>
        <v>0</v>
      </c>
      <c r="P147" s="256">
        <f t="shared" si="22"/>
        <v>0</v>
      </c>
      <c r="Q147" s="256">
        <f t="shared" si="15"/>
        <v>76772.499406654824</v>
      </c>
      <c r="R147" s="256">
        <f t="shared" si="16"/>
        <v>83963.642506728356</v>
      </c>
      <c r="S147" s="256">
        <f t="shared" si="18"/>
        <v>129046.92041490047</v>
      </c>
    </row>
    <row r="148" spans="1:19" x14ac:dyDescent="0.15">
      <c r="A148">
        <f t="shared" si="19"/>
        <v>19</v>
      </c>
      <c r="D148">
        <f>E60</f>
        <v>2049</v>
      </c>
      <c r="E148" t="s">
        <v>563</v>
      </c>
      <c r="F148" s="256"/>
      <c r="G148" s="256">
        <f t="shared" si="22"/>
        <v>11789.606009004217</v>
      </c>
      <c r="H148" s="256">
        <f t="shared" si="22"/>
        <v>8600.4777991373412</v>
      </c>
      <c r="I148" s="256">
        <f t="shared" si="17"/>
        <v>46723.567636454369</v>
      </c>
      <c r="J148" s="256">
        <f t="shared" si="22"/>
        <v>6967.5498399999997</v>
      </c>
      <c r="K148" s="256">
        <f t="shared" si="22"/>
        <v>0</v>
      </c>
      <c r="L148" s="256">
        <f t="shared" si="22"/>
        <v>0</v>
      </c>
      <c r="M148" s="256">
        <f t="shared" si="22"/>
        <v>0</v>
      </c>
      <c r="N148" s="256">
        <f t="shared" si="22"/>
        <v>399.10124999999999</v>
      </c>
      <c r="O148" s="256">
        <f t="shared" si="22"/>
        <v>0</v>
      </c>
      <c r="P148" s="256">
        <f t="shared" si="22"/>
        <v>0</v>
      </c>
      <c r="Q148" s="256">
        <f t="shared" si="15"/>
        <v>74480.302534595918</v>
      </c>
      <c r="R148" s="256">
        <f t="shared" si="16"/>
        <v>80241.928862589441</v>
      </c>
      <c r="S148" s="256">
        <f t="shared" si="18"/>
        <v>126179.83491100131</v>
      </c>
    </row>
    <row r="149" spans="1:19" x14ac:dyDescent="0.15">
      <c r="A149">
        <f t="shared" si="19"/>
        <v>19</v>
      </c>
      <c r="E149" t="s">
        <v>566</v>
      </c>
      <c r="F149" s="256"/>
      <c r="G149" s="256">
        <f t="shared" si="22"/>
        <v>17876.785251571331</v>
      </c>
      <c r="H149" s="256">
        <f t="shared" si="22"/>
        <v>14927.357407518604</v>
      </c>
      <c r="I149" s="256">
        <f t="shared" si="17"/>
        <v>36930.885893712169</v>
      </c>
      <c r="J149" s="256">
        <f t="shared" si="22"/>
        <v>4768.3668400000006</v>
      </c>
      <c r="K149" s="256">
        <f t="shared" si="22"/>
        <v>0</v>
      </c>
      <c r="L149" s="256">
        <f t="shared" si="22"/>
        <v>0</v>
      </c>
      <c r="M149" s="256">
        <f t="shared" si="22"/>
        <v>0</v>
      </c>
      <c r="N149" s="256">
        <f t="shared" si="22"/>
        <v>399.10124999999999</v>
      </c>
      <c r="O149" s="256">
        <f t="shared" si="22"/>
        <v>0</v>
      </c>
      <c r="P149" s="256">
        <f t="shared" si="22"/>
        <v>5339.4322197873234</v>
      </c>
      <c r="Q149" s="256">
        <f t="shared" si="15"/>
        <v>74480.302534595918</v>
      </c>
      <c r="R149" s="256">
        <f t="shared" si="16"/>
        <v>80241.928862589441</v>
      </c>
      <c r="S149" s="256">
        <f t="shared" si="18"/>
        <v>126179.83491100131</v>
      </c>
    </row>
    <row r="150" spans="1:19" x14ac:dyDescent="0.15">
      <c r="A150">
        <f t="shared" si="19"/>
        <v>19</v>
      </c>
      <c r="E150" t="s">
        <v>578</v>
      </c>
      <c r="G150" s="256">
        <f t="shared" si="22"/>
        <v>15474.454227355118</v>
      </c>
      <c r="H150" s="256">
        <f t="shared" si="22"/>
        <v>24016.249497649605</v>
      </c>
      <c r="I150" s="256">
        <f t="shared" si="17"/>
        <v>75123.297095996575</v>
      </c>
      <c r="J150" s="256">
        <f t="shared" si="22"/>
        <v>11166.732839999999</v>
      </c>
      <c r="K150" s="256">
        <f t="shared" si="22"/>
        <v>0</v>
      </c>
      <c r="L150" s="256">
        <f t="shared" si="22"/>
        <v>0</v>
      </c>
      <c r="M150" s="256">
        <f t="shared" si="22"/>
        <v>0</v>
      </c>
      <c r="N150" s="256">
        <f t="shared" si="22"/>
        <v>399.10124999999999</v>
      </c>
      <c r="O150" s="256">
        <f t="shared" si="22"/>
        <v>0</v>
      </c>
      <c r="P150" s="256">
        <f t="shared" si="22"/>
        <v>0</v>
      </c>
      <c r="Q150" s="256">
        <f t="shared" si="15"/>
        <v>74480.302534595918</v>
      </c>
      <c r="R150" s="256">
        <f t="shared" si="16"/>
        <v>80241.928862589441</v>
      </c>
      <c r="S150" s="256">
        <f t="shared" si="18"/>
        <v>126179.83491100131</v>
      </c>
    </row>
  </sheetData>
  <conditionalFormatting sqref="S67:S86">
    <cfRule type="cellIs" dxfId="5" priority="1" operator="equal">
      <formula>TRUE</formula>
    </cfRule>
  </conditionalFormatting>
  <conditionalFormatting sqref="S41:S60">
    <cfRule type="cellIs" dxfId="4" priority="2" operator="equal">
      <formula>TRUE</formula>
    </cfRule>
  </conditionalFormatting>
  <pageMargins left="0.7" right="0.7" top="0.75" bottom="0.75" header="0.3" footer="0.3"/>
  <pageSetup paperSize="0" orientation="portrait" horizontalDpi="0" verticalDpi="0" copies="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0" tint="-0.499984740745262"/>
  </sheetPr>
  <dimension ref="A1:R114"/>
  <sheetViews>
    <sheetView topLeftCell="A36" workbookViewId="0">
      <selection activeCell="I77" sqref="I77"/>
    </sheetView>
  </sheetViews>
  <sheetFormatPr defaultColWidth="9.140625" defaultRowHeight="10.5" x14ac:dyDescent="0.15"/>
  <cols>
    <col min="1" max="1" width="50.85546875" style="257" customWidth="1"/>
    <col min="2" max="2" width="15.85546875" style="257" customWidth="1"/>
    <col min="3" max="3" width="12.140625" style="258" customWidth="1"/>
    <col min="4" max="6" width="8.85546875" style="257" customWidth="1"/>
    <col min="7" max="7" width="11.42578125" style="257" customWidth="1"/>
    <col min="8" max="8" width="15.5703125" style="257" customWidth="1"/>
    <col min="9" max="9" width="15.85546875" style="257" customWidth="1"/>
    <col min="10" max="10" width="15" style="257" customWidth="1"/>
    <col min="11" max="11" width="13" style="257" customWidth="1"/>
    <col min="12" max="12" width="14.42578125" style="257" customWidth="1"/>
    <col min="13" max="13" width="11.5703125" style="257" customWidth="1"/>
    <col min="14" max="14" width="9.140625" style="257"/>
    <col min="15" max="15" width="33.85546875" style="257" customWidth="1"/>
    <col min="16" max="16" width="16.140625" style="257" customWidth="1"/>
    <col min="17" max="18" width="9.140625" style="257"/>
    <col min="19" max="19" width="39" style="257" customWidth="1"/>
    <col min="20" max="16384" width="9.140625" style="257"/>
  </cols>
  <sheetData>
    <row r="1" spans="1:13" x14ac:dyDescent="0.15">
      <c r="A1" s="257" t="s">
        <v>583</v>
      </c>
    </row>
    <row r="2" spans="1:13" x14ac:dyDescent="0.15">
      <c r="A2" s="257" t="s">
        <v>3</v>
      </c>
    </row>
    <row r="3" spans="1:13" ht="31.5" hidden="1" x14ac:dyDescent="0.15">
      <c r="A3" s="259" t="s">
        <v>236</v>
      </c>
      <c r="B3" s="259" t="s">
        <v>237</v>
      </c>
      <c r="C3" s="260" t="s">
        <v>238</v>
      </c>
      <c r="D3" s="259" t="s">
        <v>239</v>
      </c>
      <c r="E3" s="259" t="s">
        <v>466</v>
      </c>
      <c r="F3" s="259" t="s">
        <v>240</v>
      </c>
      <c r="G3" s="259" t="s">
        <v>241</v>
      </c>
      <c r="H3" s="259" t="s">
        <v>242</v>
      </c>
      <c r="I3" s="259" t="s">
        <v>584</v>
      </c>
      <c r="J3" s="259" t="s">
        <v>245</v>
      </c>
      <c r="K3" s="259" t="s">
        <v>246</v>
      </c>
      <c r="L3" s="259" t="s">
        <v>247</v>
      </c>
      <c r="M3" s="259" t="s">
        <v>248</v>
      </c>
    </row>
    <row r="4" spans="1:13" hidden="1" x14ac:dyDescent="0.15">
      <c r="A4" s="257">
        <v>1</v>
      </c>
      <c r="B4" s="257" t="s">
        <v>249</v>
      </c>
      <c r="C4" s="258" t="s">
        <v>250</v>
      </c>
      <c r="D4" s="257" t="s">
        <v>251</v>
      </c>
      <c r="F4" s="257">
        <v>3.7</v>
      </c>
      <c r="G4" s="257">
        <v>0.8</v>
      </c>
      <c r="H4" s="261">
        <v>0.85799999999999998</v>
      </c>
      <c r="I4" s="262"/>
      <c r="J4" s="262">
        <v>270</v>
      </c>
      <c r="K4" s="262">
        <v>25</v>
      </c>
      <c r="L4" s="263">
        <v>0.20500000000000002</v>
      </c>
      <c r="M4" s="264">
        <f>Charging_system_table1114[[#This Row],[Own energy costs (€)]]</f>
        <v>0.20500000000000002</v>
      </c>
    </row>
    <row r="5" spans="1:13" hidden="1" x14ac:dyDescent="0.15">
      <c r="A5" s="257">
        <v>2</v>
      </c>
      <c r="B5" s="257" t="s">
        <v>252</v>
      </c>
      <c r="C5" s="258" t="s">
        <v>253</v>
      </c>
      <c r="D5" s="257" t="s">
        <v>254</v>
      </c>
      <c r="F5" s="257">
        <v>10</v>
      </c>
      <c r="G5" s="257">
        <v>0.8</v>
      </c>
      <c r="H5" s="261">
        <v>0.90200000000000002</v>
      </c>
      <c r="I5" s="262"/>
      <c r="J5" s="262">
        <v>1620</v>
      </c>
      <c r="K5" s="262">
        <v>600</v>
      </c>
      <c r="L5" s="263"/>
      <c r="M5" s="263">
        <v>0.30759999999999998</v>
      </c>
    </row>
    <row r="6" spans="1:13" hidden="1" x14ac:dyDescent="0.15">
      <c r="A6" s="257">
        <v>3</v>
      </c>
      <c r="B6" s="257" t="s">
        <v>255</v>
      </c>
      <c r="C6" s="258" t="s">
        <v>256</v>
      </c>
      <c r="D6" s="257" t="s">
        <v>254</v>
      </c>
      <c r="F6" s="257">
        <v>20</v>
      </c>
      <c r="G6" s="257">
        <v>0.8</v>
      </c>
      <c r="H6" s="261">
        <v>0.90200000000000002</v>
      </c>
      <c r="I6" s="262"/>
      <c r="J6" s="262">
        <v>1620</v>
      </c>
      <c r="K6" s="262">
        <v>1295</v>
      </c>
      <c r="L6" s="263"/>
      <c r="M6" s="263">
        <v>0.4466</v>
      </c>
    </row>
    <row r="7" spans="1:13" hidden="1" x14ac:dyDescent="0.15">
      <c r="A7" s="257">
        <v>4</v>
      </c>
      <c r="B7" s="257" t="s">
        <v>255</v>
      </c>
      <c r="C7" s="258" t="s">
        <v>256</v>
      </c>
      <c r="D7" s="257" t="s">
        <v>251</v>
      </c>
      <c r="F7" s="257">
        <v>20</v>
      </c>
      <c r="G7" s="257">
        <v>0.8</v>
      </c>
      <c r="H7" s="261">
        <v>0.90200000000000002</v>
      </c>
      <c r="I7" s="262"/>
      <c r="J7" s="262">
        <v>620</v>
      </c>
      <c r="K7" s="262">
        <v>165</v>
      </c>
      <c r="L7" s="263">
        <v>0.13</v>
      </c>
      <c r="M7" s="264">
        <f>Charging_system_table1114[[#This Row],[Own energy costs (€)]]</f>
        <v>0.13</v>
      </c>
    </row>
    <row r="8" spans="1:13" hidden="1" x14ac:dyDescent="0.15">
      <c r="A8" s="257">
        <v>5</v>
      </c>
      <c r="B8" s="257" t="s">
        <v>257</v>
      </c>
      <c r="C8" s="258" t="s">
        <v>258</v>
      </c>
      <c r="D8" s="257" t="s">
        <v>254</v>
      </c>
      <c r="F8" s="257">
        <v>50</v>
      </c>
      <c r="G8" s="257">
        <v>0.7</v>
      </c>
      <c r="H8" s="261">
        <v>0.88700000000000001</v>
      </c>
      <c r="I8" s="262"/>
      <c r="J8" s="262">
        <v>6500</v>
      </c>
      <c r="K8" s="262">
        <v>3687.5</v>
      </c>
      <c r="L8" s="263"/>
      <c r="M8" s="263">
        <v>0.2631444444444444</v>
      </c>
    </row>
    <row r="9" spans="1:13" hidden="1" x14ac:dyDescent="0.15">
      <c r="A9" s="257">
        <v>6</v>
      </c>
      <c r="B9" s="257" t="s">
        <v>257</v>
      </c>
      <c r="C9" s="258" t="s">
        <v>258</v>
      </c>
      <c r="D9" s="257" t="s">
        <v>251</v>
      </c>
      <c r="F9" s="257">
        <v>50</v>
      </c>
      <c r="G9" s="257">
        <v>0.7</v>
      </c>
      <c r="H9" s="261">
        <v>0.88700000000000001</v>
      </c>
      <c r="I9" s="262"/>
      <c r="J9" s="262">
        <v>4000</v>
      </c>
      <c r="K9" s="262">
        <v>2812.5</v>
      </c>
      <c r="L9" s="263">
        <v>0.12</v>
      </c>
      <c r="M9" s="264">
        <f>Charging_system_table1114[[#This Row],[Own energy costs (€)]]</f>
        <v>0.12</v>
      </c>
    </row>
    <row r="10" spans="1:13" hidden="1" x14ac:dyDescent="0.15">
      <c r="A10" s="257">
        <v>7</v>
      </c>
      <c r="B10" s="257" t="s">
        <v>259</v>
      </c>
      <c r="C10" s="258" t="s">
        <v>260</v>
      </c>
      <c r="D10" s="257" t="s">
        <v>254</v>
      </c>
      <c r="F10" s="257">
        <v>150</v>
      </c>
      <c r="G10" s="257">
        <v>0.7</v>
      </c>
      <c r="H10" s="261">
        <v>0.88700000000000001</v>
      </c>
      <c r="I10" s="262"/>
      <c r="J10" s="262">
        <v>11625</v>
      </c>
      <c r="K10" s="262">
        <v>7962.5</v>
      </c>
      <c r="L10" s="263"/>
      <c r="M10" s="263">
        <v>0.25870000000000004</v>
      </c>
    </row>
    <row r="11" spans="1:13" hidden="1" x14ac:dyDescent="0.15">
      <c r="A11" s="257">
        <v>8</v>
      </c>
      <c r="B11" s="257" t="s">
        <v>259</v>
      </c>
      <c r="C11" s="258" t="s">
        <v>260</v>
      </c>
      <c r="D11" s="257" t="s">
        <v>251</v>
      </c>
      <c r="F11" s="257">
        <v>150</v>
      </c>
      <c r="G11" s="257">
        <v>0.7</v>
      </c>
      <c r="H11" s="261">
        <v>0.88700000000000001</v>
      </c>
      <c r="I11" s="262"/>
      <c r="J11" s="262">
        <v>11000</v>
      </c>
      <c r="K11" s="262">
        <v>3300</v>
      </c>
      <c r="L11" s="263">
        <v>0.08</v>
      </c>
      <c r="M11" s="264">
        <f>Charging_system_table1114[[#This Row],[Own energy costs (€)]]</f>
        <v>0.08</v>
      </c>
    </row>
    <row r="12" spans="1:13" hidden="1" x14ac:dyDescent="0.15">
      <c r="A12" s="257">
        <v>9</v>
      </c>
      <c r="B12" s="257" t="s">
        <v>261</v>
      </c>
      <c r="C12" s="258" t="s">
        <v>262</v>
      </c>
      <c r="D12" s="257" t="s">
        <v>254</v>
      </c>
      <c r="F12" s="257">
        <v>350</v>
      </c>
      <c r="G12" s="257">
        <v>0.7</v>
      </c>
      <c r="H12" s="261">
        <v>0.88700000000000001</v>
      </c>
      <c r="I12" s="262"/>
      <c r="J12" s="262">
        <v>31250</v>
      </c>
      <c r="K12" s="262">
        <v>19450</v>
      </c>
      <c r="L12" s="263"/>
      <c r="M12" s="263">
        <v>0.29939444444444446</v>
      </c>
    </row>
    <row r="13" spans="1:13" hidden="1" x14ac:dyDescent="0.15">
      <c r="A13" s="257">
        <v>10</v>
      </c>
      <c r="B13" s="257" t="s">
        <v>261</v>
      </c>
      <c r="C13" s="258" t="s">
        <v>262</v>
      </c>
      <c r="D13" s="257" t="s">
        <v>251</v>
      </c>
      <c r="F13" s="257">
        <v>350</v>
      </c>
      <c r="G13" s="257">
        <v>0.7</v>
      </c>
      <c r="H13" s="261">
        <v>0.88700000000000001</v>
      </c>
      <c r="I13" s="262"/>
      <c r="J13" s="262">
        <v>28000</v>
      </c>
      <c r="K13" s="262">
        <v>8400</v>
      </c>
      <c r="L13" s="263">
        <v>0.08</v>
      </c>
      <c r="M13" s="264">
        <f>Charging_system_table1114[[#This Row],[Own energy costs (€)]]</f>
        <v>0.08</v>
      </c>
    </row>
    <row r="14" spans="1:13" hidden="1" x14ac:dyDescent="0.15"/>
    <row r="15" spans="1:13" x14ac:dyDescent="0.15">
      <c r="C15" s="265"/>
      <c r="D15" s="257" t="s">
        <v>585</v>
      </c>
    </row>
    <row r="16" spans="1:13" x14ac:dyDescent="0.15">
      <c r="C16" s="266"/>
      <c r="D16" s="257" t="s">
        <v>586</v>
      </c>
      <c r="I16" s="267"/>
    </row>
    <row r="17" spans="1:18" x14ac:dyDescent="0.15">
      <c r="A17" s="268" t="s">
        <v>587</v>
      </c>
    </row>
    <row r="18" spans="1:18" x14ac:dyDescent="0.15">
      <c r="A18" s="269" t="s">
        <v>588</v>
      </c>
    </row>
    <row r="19" spans="1:18" ht="11.25" thickBot="1" x14ac:dyDescent="0.2">
      <c r="A19" s="270" t="s">
        <v>4</v>
      </c>
      <c r="B19" s="271">
        <v>44712</v>
      </c>
      <c r="C19" s="272" t="s">
        <v>4</v>
      </c>
      <c r="E19" s="272"/>
      <c r="F19" s="272"/>
      <c r="G19" s="272"/>
      <c r="H19" s="272"/>
      <c r="N19" s="273"/>
      <c r="O19" s="273"/>
      <c r="P19" s="273"/>
      <c r="Q19" s="273"/>
      <c r="R19" s="273"/>
    </row>
    <row r="20" spans="1:18" x14ac:dyDescent="0.15">
      <c r="A20" s="274"/>
      <c r="B20" s="275"/>
      <c r="C20" s="276" t="s">
        <v>249</v>
      </c>
      <c r="D20" s="277" t="s">
        <v>589</v>
      </c>
      <c r="E20" s="277" t="s">
        <v>581</v>
      </c>
      <c r="F20" s="276" t="s">
        <v>257</v>
      </c>
      <c r="G20" s="278" t="s">
        <v>259</v>
      </c>
      <c r="H20" s="279" t="s">
        <v>261</v>
      </c>
      <c r="K20" s="280" t="s">
        <v>4</v>
      </c>
      <c r="N20" s="273"/>
      <c r="O20" s="273"/>
      <c r="P20" s="273"/>
      <c r="Q20" s="273"/>
      <c r="R20" s="273"/>
    </row>
    <row r="21" spans="1:18" x14ac:dyDescent="0.15">
      <c r="A21" s="281"/>
      <c r="B21" s="273"/>
      <c r="C21" s="282" t="s">
        <v>250</v>
      </c>
      <c r="D21" s="283" t="s">
        <v>590</v>
      </c>
      <c r="E21" s="283" t="s">
        <v>582</v>
      </c>
      <c r="F21" s="282" t="s">
        <v>258</v>
      </c>
      <c r="G21" s="284" t="s">
        <v>260</v>
      </c>
      <c r="H21" s="285" t="s">
        <v>262</v>
      </c>
      <c r="L21" s="257" t="s">
        <v>4</v>
      </c>
      <c r="N21" s="273"/>
      <c r="O21" s="273"/>
      <c r="P21" s="273"/>
      <c r="Q21" s="273"/>
      <c r="R21" s="273"/>
    </row>
    <row r="22" spans="1:18" ht="11.25" thickBot="1" x14ac:dyDescent="0.2">
      <c r="A22" s="281"/>
      <c r="B22" s="273"/>
      <c r="C22" s="286" t="s">
        <v>591</v>
      </c>
      <c r="D22" s="287" t="s">
        <v>591</v>
      </c>
      <c r="E22" s="288" t="s">
        <v>591</v>
      </c>
      <c r="F22" s="288" t="s">
        <v>591</v>
      </c>
      <c r="G22" s="288" t="s">
        <v>591</v>
      </c>
      <c r="H22" s="289" t="s">
        <v>591</v>
      </c>
      <c r="I22" s="267" t="s">
        <v>592</v>
      </c>
      <c r="K22" s="280" t="s">
        <v>4</v>
      </c>
      <c r="N22" s="273"/>
      <c r="O22" s="273"/>
      <c r="P22" s="273"/>
      <c r="Q22" s="273"/>
      <c r="R22" s="273"/>
    </row>
    <row r="23" spans="1:18" x14ac:dyDescent="0.15">
      <c r="A23" s="290" t="s">
        <v>593</v>
      </c>
      <c r="B23" s="291"/>
      <c r="C23" s="292" t="s">
        <v>594</v>
      </c>
      <c r="D23" s="293" t="s">
        <v>595</v>
      </c>
      <c r="E23" s="294" t="s">
        <v>596</v>
      </c>
      <c r="F23" s="292"/>
      <c r="G23" s="295"/>
      <c r="H23" s="296"/>
      <c r="K23" s="257" t="s">
        <v>4</v>
      </c>
      <c r="N23" s="273"/>
      <c r="O23" s="273"/>
      <c r="P23" s="273"/>
      <c r="Q23" s="273"/>
      <c r="R23" s="273"/>
    </row>
    <row r="24" spans="1:18" x14ac:dyDescent="0.15">
      <c r="A24" s="297" t="s">
        <v>597</v>
      </c>
      <c r="B24" s="298" t="s">
        <v>598</v>
      </c>
      <c r="C24" s="299">
        <f>C91*$I91/100</f>
        <v>735</v>
      </c>
      <c r="D24" s="300">
        <f t="shared" ref="D24:H25" si="0">D91*$I91/100</f>
        <v>1890</v>
      </c>
      <c r="E24" s="300">
        <f t="shared" si="0"/>
        <v>2205</v>
      </c>
      <c r="F24" s="300">
        <f t="shared" si="0"/>
        <v>18375</v>
      </c>
      <c r="G24" s="300">
        <f t="shared" si="0"/>
        <v>55125</v>
      </c>
      <c r="H24" s="301">
        <f t="shared" si="0"/>
        <v>128625</v>
      </c>
      <c r="I24" s="302">
        <v>105</v>
      </c>
      <c r="O24" s="303" t="s">
        <v>599</v>
      </c>
      <c r="P24" s="304"/>
      <c r="Q24" s="305"/>
      <c r="R24" s="273"/>
    </row>
    <row r="25" spans="1:18" x14ac:dyDescent="0.15">
      <c r="A25" s="306" t="s">
        <v>600</v>
      </c>
      <c r="B25" s="298" t="s">
        <v>598</v>
      </c>
      <c r="C25" s="299">
        <f>C92*$I92/100</f>
        <v>291.60000000000002</v>
      </c>
      <c r="D25" s="300">
        <f t="shared" si="0"/>
        <v>399.6</v>
      </c>
      <c r="E25" s="300">
        <f t="shared" si="0"/>
        <v>399.6</v>
      </c>
      <c r="F25" s="300">
        <f t="shared" si="0"/>
        <v>1728</v>
      </c>
      <c r="G25" s="300">
        <f t="shared" si="0"/>
        <v>4536</v>
      </c>
      <c r="H25" s="301">
        <f t="shared" si="0"/>
        <v>4536</v>
      </c>
      <c r="I25" s="302">
        <v>108</v>
      </c>
      <c r="O25" s="303" t="s">
        <v>601</v>
      </c>
      <c r="P25" s="307"/>
      <c r="Q25" s="305"/>
      <c r="R25" s="273"/>
    </row>
    <row r="26" spans="1:18" x14ac:dyDescent="0.15">
      <c r="A26" s="308" t="s">
        <v>602</v>
      </c>
      <c r="B26" s="298" t="s">
        <v>598</v>
      </c>
      <c r="C26" s="299">
        <f t="shared" ref="C26:H26" si="1">C93*$I93/100</f>
        <v>37.799999999999997</v>
      </c>
      <c r="D26" s="300">
        <f t="shared" si="1"/>
        <v>97.2</v>
      </c>
      <c r="E26" s="300">
        <f t="shared" si="1"/>
        <v>113.4</v>
      </c>
      <c r="F26" s="300">
        <f t="shared" si="1"/>
        <v>7560</v>
      </c>
      <c r="G26" s="300">
        <f t="shared" si="1"/>
        <v>22680</v>
      </c>
      <c r="H26" s="301">
        <f t="shared" si="1"/>
        <v>52920</v>
      </c>
      <c r="I26" s="302">
        <v>108</v>
      </c>
      <c r="O26" s="303" t="s">
        <v>603</v>
      </c>
      <c r="P26" s="307"/>
      <c r="Q26" s="305"/>
      <c r="R26" s="273"/>
    </row>
    <row r="27" spans="1:18" x14ac:dyDescent="0.15">
      <c r="A27" s="309" t="s">
        <v>604</v>
      </c>
      <c r="B27" s="298" t="s">
        <v>598</v>
      </c>
      <c r="C27" s="299">
        <f t="array" ref="C27:H27">TRANSPOSE($G$74:$G$79)*$B$83</f>
        <v>540</v>
      </c>
      <c r="D27" s="300">
        <v>540</v>
      </c>
      <c r="E27" s="300">
        <v>540</v>
      </c>
      <c r="F27" s="300">
        <v>1080</v>
      </c>
      <c r="G27" s="300">
        <v>1620</v>
      </c>
      <c r="H27" s="301">
        <v>2160</v>
      </c>
      <c r="I27" s="267" t="s">
        <v>4</v>
      </c>
      <c r="O27" s="303" t="s">
        <v>605</v>
      </c>
      <c r="P27" s="307"/>
      <c r="Q27" s="305"/>
      <c r="R27" s="273"/>
    </row>
    <row r="28" spans="1:18" x14ac:dyDescent="0.15">
      <c r="A28" s="310" t="s">
        <v>606</v>
      </c>
      <c r="B28" s="298" t="s">
        <v>598</v>
      </c>
      <c r="C28" s="299">
        <f t="shared" ref="C28:H28" si="2">C95*$I95/100</f>
        <v>0</v>
      </c>
      <c r="D28" s="300">
        <f t="shared" si="2"/>
        <v>0</v>
      </c>
      <c r="E28" s="300">
        <f t="shared" si="2"/>
        <v>0</v>
      </c>
      <c r="F28" s="300">
        <f t="shared" si="2"/>
        <v>472.5</v>
      </c>
      <c r="G28" s="300">
        <f t="shared" si="2"/>
        <v>1260</v>
      </c>
      <c r="H28" s="301">
        <f t="shared" si="2"/>
        <v>3150</v>
      </c>
      <c r="I28" s="302">
        <v>105</v>
      </c>
      <c r="O28" s="303" t="s">
        <v>607</v>
      </c>
      <c r="P28" s="307"/>
      <c r="Q28" s="305"/>
      <c r="R28" s="273"/>
    </row>
    <row r="29" spans="1:18" x14ac:dyDescent="0.15">
      <c r="A29" s="308" t="s">
        <v>330</v>
      </c>
      <c r="B29" s="311" t="s">
        <v>598</v>
      </c>
      <c r="C29" s="299">
        <f t="shared" ref="C29" si="3">SUM(C24:C28)</f>
        <v>1604.3999999999999</v>
      </c>
      <c r="D29" s="300">
        <f t="shared" ref="D29:H29" si="4">SUM(D24:D28)</f>
        <v>2926.7999999999997</v>
      </c>
      <c r="E29" s="300">
        <f t="shared" si="4"/>
        <v>3258</v>
      </c>
      <c r="F29" s="300">
        <f t="shared" si="4"/>
        <v>29215.5</v>
      </c>
      <c r="G29" s="300">
        <f t="shared" si="4"/>
        <v>85221</v>
      </c>
      <c r="H29" s="301">
        <f t="shared" si="4"/>
        <v>191391</v>
      </c>
      <c r="J29" s="280">
        <f>SUM(D25:D28)</f>
        <v>1036.8</v>
      </c>
      <c r="K29" s="280">
        <f>SUM(E25:E28)</f>
        <v>1053</v>
      </c>
      <c r="L29" s="280">
        <f>SUM(F25:F28)</f>
        <v>10840.5</v>
      </c>
      <c r="M29" s="280">
        <f>SUM(G25:G28)</f>
        <v>30096</v>
      </c>
      <c r="N29" s="280">
        <f>SUM(H25:H28)</f>
        <v>62766</v>
      </c>
      <c r="O29" s="303" t="s">
        <v>608</v>
      </c>
      <c r="P29" s="312"/>
      <c r="Q29" s="305"/>
      <c r="R29" s="273"/>
    </row>
    <row r="30" spans="1:18" x14ac:dyDescent="0.15">
      <c r="A30" s="306" t="s">
        <v>609</v>
      </c>
      <c r="B30" s="298" t="s">
        <v>610</v>
      </c>
      <c r="C30" s="313">
        <f>$B$81</f>
        <v>10</v>
      </c>
      <c r="D30" s="266">
        <f t="shared" ref="D30:H30" si="5">$B81</f>
        <v>10</v>
      </c>
      <c r="E30" s="266">
        <f t="shared" si="5"/>
        <v>10</v>
      </c>
      <c r="F30" s="266">
        <f t="shared" si="5"/>
        <v>10</v>
      </c>
      <c r="G30" s="266">
        <f t="shared" si="5"/>
        <v>10</v>
      </c>
      <c r="H30" s="314">
        <f t="shared" si="5"/>
        <v>10</v>
      </c>
      <c r="I30" s="302">
        <v>100</v>
      </c>
      <c r="O30" s="307" t="s">
        <v>611</v>
      </c>
      <c r="P30" s="273"/>
      <c r="Q30" s="273"/>
      <c r="R30" s="273"/>
    </row>
    <row r="31" spans="1:18" ht="11.25" thickBot="1" x14ac:dyDescent="0.2">
      <c r="A31" s="315" t="s">
        <v>330</v>
      </c>
      <c r="B31" s="316" t="s">
        <v>612</v>
      </c>
      <c r="C31" s="317">
        <f t="shared" ref="C31:H31" si="6">C29/C30</f>
        <v>160.44</v>
      </c>
      <c r="D31" s="317">
        <f t="shared" si="6"/>
        <v>292.67999999999995</v>
      </c>
      <c r="E31" s="317">
        <f t="shared" si="6"/>
        <v>325.8</v>
      </c>
      <c r="F31" s="317">
        <f t="shared" si="6"/>
        <v>2921.55</v>
      </c>
      <c r="G31" s="317">
        <f t="shared" si="6"/>
        <v>8522.1</v>
      </c>
      <c r="H31" s="318">
        <f t="shared" si="6"/>
        <v>19139.099999999999</v>
      </c>
      <c r="O31" s="307" t="s">
        <v>608</v>
      </c>
      <c r="P31" s="273"/>
      <c r="Q31" s="273"/>
      <c r="R31" s="273"/>
    </row>
    <row r="32" spans="1:18" ht="11.25" thickBot="1" x14ac:dyDescent="0.2">
      <c r="A32" s="281"/>
      <c r="B32" s="319"/>
      <c r="C32" s="276" t="s">
        <v>249</v>
      </c>
      <c r="D32" s="283" t="s">
        <v>589</v>
      </c>
      <c r="E32" s="277" t="s">
        <v>581</v>
      </c>
      <c r="F32" s="276" t="s">
        <v>257</v>
      </c>
      <c r="G32" s="278" t="s">
        <v>259</v>
      </c>
      <c r="H32" s="279" t="s">
        <v>261</v>
      </c>
      <c r="O32" s="273"/>
      <c r="P32" s="273"/>
      <c r="Q32" s="273"/>
      <c r="R32" s="273"/>
    </row>
    <row r="33" spans="1:18" x14ac:dyDescent="0.15">
      <c r="A33" s="320" t="s">
        <v>613</v>
      </c>
      <c r="B33" s="321"/>
      <c r="C33" s="322"/>
      <c r="D33" s="323"/>
      <c r="E33" s="323"/>
      <c r="F33" s="324"/>
      <c r="G33" s="325"/>
      <c r="H33" s="326"/>
      <c r="O33" s="273"/>
      <c r="P33" s="312"/>
      <c r="Q33" s="273"/>
      <c r="R33" s="273"/>
    </row>
    <row r="34" spans="1:18" x14ac:dyDescent="0.15">
      <c r="A34" s="310" t="s">
        <v>614</v>
      </c>
      <c r="B34" s="298" t="s">
        <v>612</v>
      </c>
      <c r="C34" s="299">
        <f t="shared" ref="C34:H38" si="7">C101*$I101/100</f>
        <v>0</v>
      </c>
      <c r="D34" s="300">
        <f t="shared" si="7"/>
        <v>235.2</v>
      </c>
      <c r="E34" s="300">
        <f t="shared" si="7"/>
        <v>945</v>
      </c>
      <c r="F34" s="300">
        <f t="shared" si="7"/>
        <v>2100</v>
      </c>
      <c r="G34" s="300">
        <f t="shared" si="7"/>
        <v>2625</v>
      </c>
      <c r="H34" s="301">
        <f t="shared" si="7"/>
        <v>5250</v>
      </c>
      <c r="I34" s="302">
        <v>105</v>
      </c>
      <c r="O34" s="303" t="s">
        <v>615</v>
      </c>
      <c r="P34" s="273"/>
      <c r="Q34" s="305"/>
      <c r="R34" s="273"/>
    </row>
    <row r="35" spans="1:18" x14ac:dyDescent="0.15">
      <c r="A35" s="306" t="s">
        <v>616</v>
      </c>
      <c r="B35" s="298" t="s">
        <v>612</v>
      </c>
      <c r="C35" s="299">
        <f t="shared" si="7"/>
        <v>10.5</v>
      </c>
      <c r="D35" s="300">
        <f t="shared" si="7"/>
        <v>50.4</v>
      </c>
      <c r="E35" s="300">
        <f t="shared" si="7"/>
        <v>73.5</v>
      </c>
      <c r="F35" s="300">
        <f t="shared" si="7"/>
        <v>73.5</v>
      </c>
      <c r="G35" s="300">
        <f t="shared" si="7"/>
        <v>73.5</v>
      </c>
      <c r="H35" s="301">
        <f t="shared" si="7"/>
        <v>73.5</v>
      </c>
      <c r="I35" s="302">
        <v>105</v>
      </c>
      <c r="O35" s="303" t="s">
        <v>617</v>
      </c>
      <c r="P35" s="273"/>
      <c r="Q35" s="305"/>
      <c r="R35" s="273"/>
    </row>
    <row r="36" spans="1:18" x14ac:dyDescent="0.15">
      <c r="A36" s="306" t="s">
        <v>618</v>
      </c>
      <c r="B36" s="298" t="s">
        <v>612</v>
      </c>
      <c r="C36" s="299">
        <f t="shared" si="7"/>
        <v>29.96</v>
      </c>
      <c r="D36" s="300">
        <f t="shared" si="7"/>
        <v>77.040000000000006</v>
      </c>
      <c r="E36" s="300">
        <f t="shared" si="7"/>
        <v>89.88</v>
      </c>
      <c r="F36" s="300">
        <f t="shared" si="7"/>
        <v>749</v>
      </c>
      <c r="G36" s="300">
        <f t="shared" si="7"/>
        <v>2247</v>
      </c>
      <c r="H36" s="301">
        <f t="shared" si="7"/>
        <v>5243</v>
      </c>
      <c r="I36" s="302">
        <v>107</v>
      </c>
      <c r="N36" s="273"/>
      <c r="O36" s="303" t="s">
        <v>619</v>
      </c>
      <c r="P36" s="273"/>
      <c r="Q36" s="305"/>
      <c r="R36" s="273"/>
    </row>
    <row r="37" spans="1:18" x14ac:dyDescent="0.15">
      <c r="A37" s="306" t="s">
        <v>620</v>
      </c>
      <c r="B37" s="298" t="s">
        <v>612</v>
      </c>
      <c r="C37" s="299">
        <f t="shared" si="7"/>
        <v>21</v>
      </c>
      <c r="D37" s="300">
        <f t="shared" si="7"/>
        <v>21</v>
      </c>
      <c r="E37" s="300">
        <f t="shared" si="7"/>
        <v>241.5</v>
      </c>
      <c r="F37" s="300">
        <f t="shared" si="7"/>
        <v>918.75</v>
      </c>
      <c r="G37" s="300">
        <f t="shared" si="7"/>
        <v>2756.25</v>
      </c>
      <c r="H37" s="301">
        <f t="shared" si="7"/>
        <v>6431.25</v>
      </c>
      <c r="I37" s="302">
        <v>105</v>
      </c>
      <c r="N37" s="273"/>
      <c r="O37" s="303" t="s">
        <v>621</v>
      </c>
      <c r="P37" s="273"/>
      <c r="Q37" s="305"/>
      <c r="R37" s="273"/>
    </row>
    <row r="38" spans="1:18" ht="11.25" thickBot="1" x14ac:dyDescent="0.2">
      <c r="A38" s="327" t="s">
        <v>622</v>
      </c>
      <c r="B38" s="328" t="s">
        <v>612</v>
      </c>
      <c r="C38" s="299">
        <f t="shared" si="7"/>
        <v>54</v>
      </c>
      <c r="D38" s="300">
        <f t="shared" si="7"/>
        <v>54</v>
      </c>
      <c r="E38" s="300">
        <f t="shared" si="7"/>
        <v>54</v>
      </c>
      <c r="F38" s="300">
        <f t="shared" si="7"/>
        <v>108</v>
      </c>
      <c r="G38" s="300">
        <f t="shared" si="7"/>
        <v>108</v>
      </c>
      <c r="H38" s="301">
        <f t="shared" si="7"/>
        <v>108</v>
      </c>
      <c r="I38" s="302">
        <v>108</v>
      </c>
      <c r="N38" s="273"/>
      <c r="O38" s="303" t="s">
        <v>623</v>
      </c>
      <c r="P38" s="273"/>
      <c r="Q38" s="305"/>
      <c r="R38" s="273"/>
    </row>
    <row r="39" spans="1:18" ht="11.25" thickBot="1" x14ac:dyDescent="0.2">
      <c r="A39" s="329" t="s">
        <v>330</v>
      </c>
      <c r="B39" s="330" t="s">
        <v>612</v>
      </c>
      <c r="C39" s="331">
        <f>SUM(C34:C38)</f>
        <v>115.46000000000001</v>
      </c>
      <c r="D39" s="332">
        <f t="shared" ref="D39:H39" si="8">SUM(D34:D38)</f>
        <v>437.64</v>
      </c>
      <c r="E39" s="333">
        <f t="shared" si="8"/>
        <v>1403.88</v>
      </c>
      <c r="F39" s="334">
        <f t="shared" si="8"/>
        <v>3949.25</v>
      </c>
      <c r="G39" s="332">
        <f t="shared" si="8"/>
        <v>7809.75</v>
      </c>
      <c r="H39" s="335">
        <f t="shared" si="8"/>
        <v>17105.75</v>
      </c>
      <c r="N39" s="273"/>
      <c r="O39" s="303" t="s">
        <v>608</v>
      </c>
      <c r="P39" s="336"/>
      <c r="Q39" s="305"/>
      <c r="R39" s="273"/>
    </row>
    <row r="40" spans="1:18" ht="11.25" thickBot="1" x14ac:dyDescent="0.2">
      <c r="A40" s="281"/>
      <c r="B40" s="319"/>
      <c r="C40" s="276" t="s">
        <v>249</v>
      </c>
      <c r="D40" s="283" t="s">
        <v>589</v>
      </c>
      <c r="E40" s="277" t="s">
        <v>581</v>
      </c>
      <c r="F40" s="282" t="s">
        <v>257</v>
      </c>
      <c r="G40" s="284" t="s">
        <v>259</v>
      </c>
      <c r="H40" s="285" t="s">
        <v>261</v>
      </c>
      <c r="N40" s="273"/>
      <c r="O40" s="273"/>
      <c r="P40" s="273"/>
      <c r="Q40" s="273"/>
      <c r="R40" s="273"/>
    </row>
    <row r="41" spans="1:18" x14ac:dyDescent="0.15">
      <c r="A41" s="320" t="s">
        <v>624</v>
      </c>
      <c r="B41" s="321"/>
      <c r="C41" s="322"/>
      <c r="D41" s="323"/>
      <c r="E41" s="323"/>
      <c r="F41" s="324"/>
      <c r="G41" s="325"/>
      <c r="H41" s="326"/>
      <c r="N41" s="273"/>
      <c r="O41" s="273"/>
      <c r="P41" s="273"/>
      <c r="Q41" s="273"/>
      <c r="R41" s="273"/>
    </row>
    <row r="42" spans="1:18" x14ac:dyDescent="0.15">
      <c r="A42" s="306" t="s">
        <v>625</v>
      </c>
      <c r="B42" s="298" t="s">
        <v>626</v>
      </c>
      <c r="C42" s="337">
        <f>$E$66</f>
        <v>8.8700000000000001E-2</v>
      </c>
      <c r="D42" s="338">
        <f>$E66</f>
        <v>8.8700000000000001E-2</v>
      </c>
      <c r="E42" s="338">
        <f>$E66</f>
        <v>8.8700000000000001E-2</v>
      </c>
      <c r="F42" s="338">
        <f>$E66</f>
        <v>8.8700000000000001E-2</v>
      </c>
      <c r="G42" s="338">
        <f>$E66</f>
        <v>8.8700000000000001E-2</v>
      </c>
      <c r="H42" s="339">
        <f>$E66</f>
        <v>8.8700000000000001E-2</v>
      </c>
      <c r="I42" s="302">
        <v>2022</v>
      </c>
      <c r="N42" s="273"/>
      <c r="O42" s="340"/>
      <c r="P42" s="307"/>
      <c r="Q42" s="341"/>
      <c r="R42" s="273"/>
    </row>
    <row r="43" spans="1:18" x14ac:dyDescent="0.15">
      <c r="A43" s="306" t="s">
        <v>627</v>
      </c>
      <c r="B43" s="298" t="s">
        <v>626</v>
      </c>
      <c r="C43" s="337">
        <f>$C$66+$D$66</f>
        <v>3.4790000000000001E-2</v>
      </c>
      <c r="D43" s="338">
        <f>$C66+$D66</f>
        <v>3.4790000000000001E-2</v>
      </c>
      <c r="E43" s="338">
        <f>$C66+$D66</f>
        <v>3.4790000000000001E-2</v>
      </c>
      <c r="F43" s="338">
        <f>$C66+$D66</f>
        <v>3.4790000000000001E-2</v>
      </c>
      <c r="G43" s="338">
        <f>$C66+$D66</f>
        <v>3.4790000000000001E-2</v>
      </c>
      <c r="H43" s="339">
        <f>$C66+$D66</f>
        <v>3.4790000000000001E-2</v>
      </c>
      <c r="I43" s="302">
        <v>2022</v>
      </c>
      <c r="N43" s="273"/>
      <c r="O43" s="340"/>
      <c r="P43" s="307"/>
      <c r="Q43" s="341"/>
      <c r="R43" s="273"/>
    </row>
    <row r="44" spans="1:18" ht="11.25" thickBot="1" x14ac:dyDescent="0.2">
      <c r="A44" s="329" t="s">
        <v>330</v>
      </c>
      <c r="B44" s="298" t="s">
        <v>626</v>
      </c>
      <c r="C44" s="342">
        <f t="shared" ref="C44:H44" si="9">SUM(C42:C43)</f>
        <v>0.12349</v>
      </c>
      <c r="D44" s="343">
        <f t="shared" si="9"/>
        <v>0.12349</v>
      </c>
      <c r="E44" s="343">
        <f t="shared" si="9"/>
        <v>0.12349</v>
      </c>
      <c r="F44" s="343">
        <f t="shared" si="9"/>
        <v>0.12349</v>
      </c>
      <c r="G44" s="343">
        <f t="shared" si="9"/>
        <v>0.12349</v>
      </c>
      <c r="H44" s="344">
        <f t="shared" si="9"/>
        <v>0.12349</v>
      </c>
      <c r="N44" s="273"/>
      <c r="O44" s="340"/>
      <c r="P44" s="307"/>
      <c r="Q44" s="341"/>
      <c r="R44" s="273"/>
    </row>
    <row r="45" spans="1:18" ht="11.25" thickBot="1" x14ac:dyDescent="0.2">
      <c r="A45" s="281"/>
      <c r="B45" s="319"/>
      <c r="C45" s="345"/>
      <c r="D45" s="319"/>
      <c r="E45" s="346"/>
      <c r="F45" s="345"/>
      <c r="G45" s="347"/>
      <c r="H45" s="348"/>
      <c r="N45" s="273"/>
      <c r="O45" s="273"/>
      <c r="P45" s="273"/>
      <c r="Q45" s="273"/>
      <c r="R45" s="273"/>
    </row>
    <row r="46" spans="1:18" x14ac:dyDescent="0.15">
      <c r="A46" s="349" t="s">
        <v>628</v>
      </c>
      <c r="B46" s="350" t="s">
        <v>629</v>
      </c>
      <c r="C46" s="351">
        <f t="shared" ref="C46:H46" si="10">C31+C39</f>
        <v>275.89999999999998</v>
      </c>
      <c r="D46" s="352">
        <f t="shared" si="10"/>
        <v>730.31999999999994</v>
      </c>
      <c r="E46" s="352">
        <f t="shared" si="10"/>
        <v>1729.68</v>
      </c>
      <c r="F46" s="352">
        <f t="shared" si="10"/>
        <v>6870.8</v>
      </c>
      <c r="G46" s="352">
        <f t="shared" si="10"/>
        <v>16331.85</v>
      </c>
      <c r="H46" s="353">
        <f t="shared" si="10"/>
        <v>36244.85</v>
      </c>
    </row>
    <row r="47" spans="1:18" ht="11.25" thickBot="1" x14ac:dyDescent="0.2">
      <c r="A47" s="315" t="s">
        <v>630</v>
      </c>
      <c r="B47" s="316" t="s">
        <v>631</v>
      </c>
      <c r="C47" s="354">
        <f>C44</f>
        <v>0.12349</v>
      </c>
      <c r="D47" s="355">
        <f>D44</f>
        <v>0.12349</v>
      </c>
      <c r="E47" s="355">
        <f t="shared" ref="E47" si="11">E44</f>
        <v>0.12349</v>
      </c>
      <c r="F47" s="355">
        <f>F44</f>
        <v>0.12349</v>
      </c>
      <c r="G47" s="355">
        <f>G44</f>
        <v>0.12349</v>
      </c>
      <c r="H47" s="356">
        <f>H44</f>
        <v>0.12349</v>
      </c>
      <c r="J47" s="336"/>
      <c r="K47" s="336"/>
      <c r="L47" s="336"/>
      <c r="M47" s="336"/>
      <c r="N47" s="336"/>
      <c r="O47" s="336"/>
    </row>
    <row r="48" spans="1:18" hidden="1" x14ac:dyDescent="0.15">
      <c r="G48" s="357" t="s">
        <v>4</v>
      </c>
      <c r="J48" s="336"/>
      <c r="K48" s="336"/>
      <c r="L48" s="336"/>
      <c r="M48" s="336"/>
      <c r="N48" s="336"/>
      <c r="O48" s="336"/>
    </row>
    <row r="49" spans="1:18" hidden="1" x14ac:dyDescent="0.15">
      <c r="A49" s="268" t="s">
        <v>632</v>
      </c>
      <c r="J49" s="336"/>
      <c r="K49" s="336"/>
      <c r="L49" s="336"/>
      <c r="M49" s="336"/>
      <c r="N49" s="336"/>
      <c r="O49" s="336"/>
    </row>
    <row r="50" spans="1:18" hidden="1" x14ac:dyDescent="0.15">
      <c r="A50" s="358"/>
      <c r="B50" s="359"/>
      <c r="C50" s="360" t="s">
        <v>249</v>
      </c>
      <c r="D50" s="283" t="s">
        <v>589</v>
      </c>
      <c r="E50" s="277" t="s">
        <v>581</v>
      </c>
      <c r="F50" s="277" t="s">
        <v>581</v>
      </c>
      <c r="G50" s="360" t="s">
        <v>257</v>
      </c>
      <c r="H50" s="360" t="s">
        <v>257</v>
      </c>
      <c r="I50" s="361"/>
      <c r="J50" s="362"/>
      <c r="K50" s="362"/>
      <c r="L50" s="336"/>
      <c r="M50" s="336"/>
      <c r="N50" s="336"/>
      <c r="O50" s="336"/>
    </row>
    <row r="51" spans="1:18" hidden="1" x14ac:dyDescent="0.15">
      <c r="A51" s="363" t="s">
        <v>633</v>
      </c>
      <c r="B51" s="273"/>
      <c r="C51" s="364"/>
      <c r="D51" s="365"/>
      <c r="E51" s="365"/>
      <c r="F51" s="365"/>
      <c r="G51" s="365"/>
      <c r="H51" s="365"/>
      <c r="I51" s="366"/>
      <c r="J51" s="367"/>
      <c r="K51" s="367"/>
      <c r="L51" s="336"/>
      <c r="M51" s="336"/>
      <c r="N51" s="336"/>
      <c r="O51" s="336"/>
      <c r="R51" s="368"/>
    </row>
    <row r="52" spans="1:18" hidden="1" x14ac:dyDescent="0.15">
      <c r="A52" s="369" t="s">
        <v>634</v>
      </c>
      <c r="B52" s="273" t="s">
        <v>635</v>
      </c>
      <c r="C52" s="370">
        <v>3000</v>
      </c>
      <c r="D52" s="370">
        <f>(C52+F52)/2</f>
        <v>7500</v>
      </c>
      <c r="E52" s="370">
        <v>4000</v>
      </c>
      <c r="F52" s="370">
        <v>12000</v>
      </c>
      <c r="G52" s="370">
        <v>30000</v>
      </c>
      <c r="H52" s="370">
        <v>35000</v>
      </c>
      <c r="I52" s="371"/>
      <c r="J52" s="372"/>
      <c r="K52" s="372"/>
      <c r="L52" s="336"/>
      <c r="M52" s="336"/>
      <c r="N52" s="336"/>
      <c r="O52" s="373"/>
      <c r="P52" s="368"/>
      <c r="Q52" s="368"/>
      <c r="R52" s="368"/>
    </row>
    <row r="53" spans="1:18" hidden="1" x14ac:dyDescent="0.15">
      <c r="A53" s="369" t="s">
        <v>636</v>
      </c>
      <c r="B53" s="273" t="s">
        <v>635</v>
      </c>
      <c r="C53" s="370">
        <v>7500</v>
      </c>
      <c r="D53" s="370">
        <f>(C53+F53)/2</f>
        <v>18750</v>
      </c>
      <c r="E53" s="370">
        <v>5000</v>
      </c>
      <c r="F53" s="370">
        <v>30000</v>
      </c>
      <c r="G53" s="370">
        <v>45000</v>
      </c>
      <c r="H53" s="370">
        <v>87500</v>
      </c>
      <c r="I53" s="371"/>
      <c r="J53" s="372"/>
      <c r="K53" s="372"/>
      <c r="L53" s="336"/>
      <c r="M53" s="336"/>
      <c r="N53" s="336"/>
      <c r="O53" s="373"/>
      <c r="P53" s="368"/>
      <c r="Q53" s="368"/>
      <c r="R53" s="368"/>
    </row>
    <row r="54" spans="1:18" hidden="1" x14ac:dyDescent="0.15">
      <c r="A54" s="369" t="s">
        <v>637</v>
      </c>
      <c r="B54" s="273" t="s">
        <v>635</v>
      </c>
      <c r="C54" s="370">
        <v>12000</v>
      </c>
      <c r="D54" s="370">
        <f>(C54+F54)/2</f>
        <v>30000</v>
      </c>
      <c r="E54" s="370">
        <v>6000</v>
      </c>
      <c r="F54" s="370">
        <v>48000</v>
      </c>
      <c r="G54" s="370">
        <v>60000</v>
      </c>
      <c r="H54" s="370">
        <v>140000</v>
      </c>
      <c r="I54" s="371"/>
      <c r="J54" s="372"/>
      <c r="K54" s="372"/>
      <c r="L54" s="336"/>
      <c r="M54" s="336"/>
      <c r="N54" s="336"/>
      <c r="O54" s="373"/>
      <c r="P54" s="368"/>
      <c r="Q54" s="368"/>
      <c r="R54" s="368"/>
    </row>
    <row r="55" spans="1:18" hidden="1" x14ac:dyDescent="0.15">
      <c r="A55" s="369"/>
      <c r="B55" s="273"/>
      <c r="C55" s="319"/>
      <c r="D55" s="273"/>
      <c r="E55" s="273"/>
      <c r="F55" s="273"/>
      <c r="G55" s="273"/>
      <c r="H55" s="273"/>
      <c r="I55" s="273"/>
      <c r="J55" s="336"/>
      <c r="K55" s="336"/>
      <c r="L55" s="336"/>
      <c r="M55" s="336"/>
      <c r="N55" s="336"/>
      <c r="O55" s="336"/>
    </row>
    <row r="56" spans="1:18" hidden="1" x14ac:dyDescent="0.15">
      <c r="A56" s="369"/>
      <c r="B56" s="273"/>
      <c r="C56" s="319"/>
      <c r="D56" s="273"/>
      <c r="E56" s="273"/>
      <c r="F56" s="273"/>
      <c r="G56" s="273"/>
      <c r="H56" s="273"/>
      <c r="I56" s="273"/>
      <c r="J56" s="336"/>
      <c r="K56" s="336"/>
      <c r="L56" s="336"/>
      <c r="M56" s="336"/>
      <c r="N56" s="336"/>
      <c r="O56" s="336"/>
    </row>
    <row r="57" spans="1:18" hidden="1" x14ac:dyDescent="0.15">
      <c r="A57" s="369"/>
      <c r="B57" s="273"/>
      <c r="C57" s="319"/>
      <c r="D57" s="273"/>
      <c r="E57" s="273"/>
      <c r="F57" s="273"/>
      <c r="G57" s="273"/>
      <c r="H57" s="273"/>
      <c r="I57" s="273"/>
      <c r="J57" s="336"/>
      <c r="K57" s="336"/>
      <c r="L57" s="336"/>
      <c r="M57" s="336"/>
      <c r="N57" s="336"/>
      <c r="O57" s="336"/>
    </row>
    <row r="58" spans="1:18" hidden="1" x14ac:dyDescent="0.15">
      <c r="A58" s="363" t="s">
        <v>638</v>
      </c>
      <c r="B58" s="273"/>
      <c r="C58" s="360" t="s">
        <v>249</v>
      </c>
      <c r="D58" s="283" t="s">
        <v>589</v>
      </c>
      <c r="E58" s="277" t="s">
        <v>581</v>
      </c>
      <c r="F58" s="277" t="s">
        <v>581</v>
      </c>
      <c r="G58" s="360" t="s">
        <v>257</v>
      </c>
      <c r="H58" s="360" t="s">
        <v>257</v>
      </c>
      <c r="I58" s="361"/>
      <c r="J58" s="362"/>
      <c r="K58" s="362"/>
      <c r="L58" s="336"/>
      <c r="M58" s="336"/>
      <c r="N58" s="336"/>
      <c r="O58" s="336"/>
    </row>
    <row r="59" spans="1:18" hidden="1" x14ac:dyDescent="0.15">
      <c r="A59" s="369"/>
      <c r="B59" s="273"/>
      <c r="C59" s="364"/>
      <c r="D59" s="365"/>
      <c r="E59" s="365"/>
      <c r="F59" s="365"/>
      <c r="G59" s="365"/>
      <c r="H59" s="365"/>
      <c r="I59" s="374"/>
      <c r="J59" s="367"/>
      <c r="K59" s="367"/>
      <c r="L59" s="336"/>
      <c r="M59" s="336"/>
      <c r="N59" s="336"/>
      <c r="O59" s="336"/>
    </row>
    <row r="60" spans="1:18" ht="11.25" hidden="1" thickBot="1" x14ac:dyDescent="0.2">
      <c r="A60" s="369" t="s">
        <v>634</v>
      </c>
      <c r="B60" s="273"/>
      <c r="C60" s="343">
        <f>C$46/C52+C$47</f>
        <v>0.21545666666666666</v>
      </c>
      <c r="D60" s="343">
        <f>D$46/D52+D$47</f>
        <v>0.22086600000000001</v>
      </c>
      <c r="E60" s="375">
        <v>0.53044999999999998</v>
      </c>
      <c r="F60" s="343" t="e">
        <f>#REF!/F52+#REF!</f>
        <v>#REF!</v>
      </c>
      <c r="G60" s="375">
        <v>0.33911666666666662</v>
      </c>
      <c r="H60" s="343" t="e">
        <f>#REF!/H52+#REF!</f>
        <v>#REF!</v>
      </c>
      <c r="I60" s="376"/>
      <c r="J60" s="377"/>
      <c r="K60" s="377"/>
      <c r="L60" s="336"/>
      <c r="M60" s="336"/>
      <c r="N60" s="336"/>
      <c r="O60" s="336"/>
    </row>
    <row r="61" spans="1:18" ht="11.25" hidden="1" thickBot="1" x14ac:dyDescent="0.2">
      <c r="A61" s="369" t="s">
        <v>636</v>
      </c>
      <c r="B61" s="273"/>
      <c r="C61" s="343">
        <f t="shared" ref="C61:C62" si="12">C$46/C53+C$47</f>
        <v>0.16027666666666668</v>
      </c>
      <c r="D61" s="343">
        <f>D$46/D53+D$47</f>
        <v>0.16244039999999998</v>
      </c>
      <c r="E61" s="375">
        <v>0.4466</v>
      </c>
      <c r="F61" s="343" t="e">
        <f>#REF!/F53+#REF!</f>
        <v>#REF!</v>
      </c>
      <c r="G61" s="375">
        <v>0.2631444444444444</v>
      </c>
      <c r="H61" s="343" t="e">
        <f>#REF!/H53+#REF!</f>
        <v>#REF!</v>
      </c>
      <c r="I61" s="376"/>
      <c r="J61" s="377"/>
      <c r="K61" s="377"/>
      <c r="L61" s="336"/>
      <c r="M61" s="336"/>
      <c r="N61" s="336"/>
      <c r="O61" s="336"/>
    </row>
    <row r="62" spans="1:18" ht="11.25" hidden="1" thickBot="1" x14ac:dyDescent="0.2">
      <c r="A62" s="369" t="s">
        <v>637</v>
      </c>
      <c r="B62" s="273"/>
      <c r="C62" s="343">
        <f t="shared" si="12"/>
        <v>0.14648166666666668</v>
      </c>
      <c r="D62" s="343">
        <f>D$46/D54+D$47</f>
        <v>0.14783399999999999</v>
      </c>
      <c r="E62" s="375">
        <v>0.39070000000000005</v>
      </c>
      <c r="F62" s="343" t="e">
        <f>#REF!/F54+#REF!</f>
        <v>#REF!</v>
      </c>
      <c r="G62" s="375">
        <v>0.22515833333333332</v>
      </c>
      <c r="H62" s="343" t="e">
        <f>#REF!/H54+#REF!</f>
        <v>#REF!</v>
      </c>
      <c r="I62" s="376"/>
      <c r="J62" s="377"/>
      <c r="K62" s="377"/>
      <c r="L62" s="336"/>
      <c r="M62" s="336"/>
      <c r="N62" s="336"/>
      <c r="O62" s="336"/>
    </row>
    <row r="63" spans="1:18" hidden="1" x14ac:dyDescent="0.15">
      <c r="A63" s="378"/>
      <c r="B63" s="379"/>
      <c r="C63" s="380"/>
      <c r="D63" s="379"/>
      <c r="E63" s="379"/>
      <c r="F63" s="379"/>
      <c r="G63" s="379"/>
      <c r="H63" s="379"/>
      <c r="I63" s="273"/>
      <c r="J63" s="336"/>
      <c r="K63" s="336"/>
      <c r="L63" s="336"/>
      <c r="M63" s="336"/>
      <c r="N63" s="336"/>
      <c r="O63" s="336"/>
    </row>
    <row r="64" spans="1:18" x14ac:dyDescent="0.15">
      <c r="B64" s="257" t="s">
        <v>639</v>
      </c>
      <c r="C64" s="257" t="s">
        <v>640</v>
      </c>
      <c r="D64" s="257" t="s">
        <v>641</v>
      </c>
      <c r="E64" s="257" t="s">
        <v>642</v>
      </c>
      <c r="F64" s="257" t="s">
        <v>330</v>
      </c>
      <c r="J64" s="336"/>
      <c r="K64" s="336"/>
      <c r="L64" s="336"/>
      <c r="M64" s="336"/>
      <c r="N64" s="336"/>
      <c r="O64" s="336"/>
    </row>
    <row r="65" spans="1:15" x14ac:dyDescent="0.15">
      <c r="A65" s="526" t="s">
        <v>643</v>
      </c>
      <c r="B65" s="359" t="s">
        <v>644</v>
      </c>
      <c r="C65" s="527">
        <v>4.3610000000000003E-2</v>
      </c>
      <c r="D65" s="527">
        <v>4.1799999999999997E-2</v>
      </c>
      <c r="E65" s="528">
        <v>8.8700000000000001E-2</v>
      </c>
      <c r="F65" s="528">
        <f t="shared" ref="F65" si="13">SUM(C65:E65)</f>
        <v>0.17410999999999999</v>
      </c>
      <c r="G65" s="529">
        <v>2022</v>
      </c>
      <c r="H65" s="530">
        <v>44657</v>
      </c>
      <c r="I65" s="359"/>
      <c r="J65" s="531"/>
      <c r="K65" s="336"/>
      <c r="L65" s="336"/>
      <c r="M65" s="336"/>
      <c r="N65" s="336"/>
      <c r="O65" s="336"/>
    </row>
    <row r="66" spans="1:15" x14ac:dyDescent="0.15">
      <c r="A66" s="532" t="s">
        <v>645</v>
      </c>
      <c r="B66" s="273" t="s">
        <v>646</v>
      </c>
      <c r="C66" s="533">
        <v>1.189E-2</v>
      </c>
      <c r="D66" s="533">
        <v>2.29E-2</v>
      </c>
      <c r="E66" s="534">
        <v>8.8700000000000001E-2</v>
      </c>
      <c r="F66" s="534">
        <f>SUM(C66:E66)</f>
        <v>0.12349</v>
      </c>
      <c r="G66" s="535">
        <v>2022</v>
      </c>
      <c r="H66" s="536">
        <v>44657</v>
      </c>
      <c r="I66" s="273"/>
      <c r="J66" s="537"/>
      <c r="K66" s="336"/>
      <c r="L66" s="336"/>
      <c r="M66" s="336"/>
      <c r="N66" s="336"/>
    </row>
    <row r="67" spans="1:15" x14ac:dyDescent="0.15">
      <c r="A67" s="369"/>
      <c r="B67" s="273"/>
      <c r="C67" s="538" t="s">
        <v>4</v>
      </c>
      <c r="D67" s="273"/>
      <c r="E67" s="273"/>
      <c r="F67" s="539" t="s">
        <v>4</v>
      </c>
      <c r="G67" s="539" t="s">
        <v>4</v>
      </c>
      <c r="H67" s="273"/>
      <c r="I67" s="273"/>
      <c r="J67" s="540"/>
      <c r="K67" s="336"/>
      <c r="L67" s="336"/>
      <c r="M67" s="336"/>
      <c r="N67" s="336"/>
    </row>
    <row r="68" spans="1:15" customFormat="1" x14ac:dyDescent="0.15">
      <c r="A68" s="541" t="s">
        <v>647</v>
      </c>
      <c r="B68" s="510"/>
      <c r="C68" s="510"/>
      <c r="D68" s="510"/>
      <c r="E68" s="510"/>
      <c r="F68" s="510"/>
      <c r="G68" s="510"/>
      <c r="H68" s="510"/>
      <c r="I68" s="510"/>
      <c r="J68" s="542"/>
    </row>
    <row r="69" spans="1:15" customFormat="1" x14ac:dyDescent="0.15">
      <c r="A69" s="543"/>
      <c r="B69" s="510"/>
      <c r="C69" s="510"/>
      <c r="D69" s="510"/>
      <c r="E69" s="510"/>
      <c r="F69" s="510"/>
      <c r="G69" s="510"/>
      <c r="H69" s="510"/>
      <c r="I69" s="510"/>
      <c r="J69" s="542"/>
    </row>
    <row r="70" spans="1:15" customFormat="1" x14ac:dyDescent="0.15">
      <c r="A70" s="544" t="s">
        <v>921</v>
      </c>
      <c r="B70" s="545"/>
      <c r="C70" s="545"/>
      <c r="D70" s="545"/>
      <c r="E70" s="545"/>
      <c r="F70" s="545"/>
      <c r="G70" s="545"/>
      <c r="H70" s="545"/>
      <c r="I70" s="545"/>
      <c r="J70" s="546"/>
    </row>
    <row r="71" spans="1:15" x14ac:dyDescent="0.15">
      <c r="C71" s="382"/>
      <c r="G71" s="267"/>
      <c r="J71" s="336"/>
      <c r="K71" s="336"/>
      <c r="L71" s="336"/>
      <c r="M71" s="336"/>
      <c r="N71" s="336"/>
    </row>
    <row r="72" spans="1:15" x14ac:dyDescent="0.15">
      <c r="E72" s="257" t="s">
        <v>648</v>
      </c>
      <c r="G72" s="257" t="s">
        <v>649</v>
      </c>
      <c r="I72" s="336"/>
      <c r="J72" s="336"/>
      <c r="K72" s="336"/>
    </row>
    <row r="73" spans="1:15" x14ac:dyDescent="0.15">
      <c r="A73" s="383"/>
      <c r="B73" s="383" t="s">
        <v>650</v>
      </c>
      <c r="C73" s="383" t="s">
        <v>651</v>
      </c>
      <c r="D73" s="383" t="s">
        <v>652</v>
      </c>
      <c r="E73" s="383" t="s">
        <v>653</v>
      </c>
      <c r="G73" s="383" t="s">
        <v>654</v>
      </c>
      <c r="I73" s="336"/>
      <c r="J73" s="336"/>
      <c r="K73" s="336"/>
    </row>
    <row r="74" spans="1:15" x14ac:dyDescent="0.15">
      <c r="A74" s="384" t="s">
        <v>655</v>
      </c>
      <c r="B74" s="385">
        <v>3.7</v>
      </c>
      <c r="C74" s="386">
        <v>250</v>
      </c>
      <c r="D74" s="386">
        <v>12</v>
      </c>
      <c r="E74" s="387">
        <f>B74*C74*D74</f>
        <v>11100</v>
      </c>
      <c r="F74" s="257" t="s">
        <v>180</v>
      </c>
      <c r="G74" s="388">
        <v>5</v>
      </c>
      <c r="H74" s="257" t="s">
        <v>656</v>
      </c>
      <c r="I74" s="336"/>
      <c r="J74" s="336"/>
      <c r="K74" s="336"/>
    </row>
    <row r="75" spans="1:15" x14ac:dyDescent="0.15">
      <c r="B75" s="385">
        <v>11</v>
      </c>
      <c r="C75" s="386">
        <v>250</v>
      </c>
      <c r="D75" s="386">
        <v>10</v>
      </c>
      <c r="E75" s="387">
        <f>B75*C75*D75</f>
        <v>27500</v>
      </c>
      <c r="F75" s="257" t="s">
        <v>180</v>
      </c>
      <c r="G75" s="388">
        <v>5</v>
      </c>
      <c r="H75" s="257" t="s">
        <v>656</v>
      </c>
      <c r="I75" s="336"/>
      <c r="J75" s="336"/>
      <c r="K75" s="336"/>
    </row>
    <row r="76" spans="1:15" x14ac:dyDescent="0.15">
      <c r="B76" s="385">
        <v>22</v>
      </c>
      <c r="C76" s="386">
        <v>200</v>
      </c>
      <c r="D76" s="386">
        <v>10</v>
      </c>
      <c r="E76" s="387">
        <f>B76*C76*D76</f>
        <v>44000</v>
      </c>
      <c r="F76" s="257" t="s">
        <v>180</v>
      </c>
      <c r="G76" s="388">
        <v>5</v>
      </c>
      <c r="H76" s="257" t="s">
        <v>656</v>
      </c>
      <c r="I76" s="336"/>
      <c r="J76" s="336"/>
      <c r="K76" s="336"/>
    </row>
    <row r="77" spans="1:15" x14ac:dyDescent="0.15">
      <c r="B77" s="385">
        <v>50</v>
      </c>
      <c r="C77" s="386">
        <v>250</v>
      </c>
      <c r="D77" s="386">
        <v>10</v>
      </c>
      <c r="E77" s="387">
        <f>B77*C77*D77</f>
        <v>125000</v>
      </c>
      <c r="F77" s="257" t="s">
        <v>180</v>
      </c>
      <c r="G77" s="388">
        <v>10</v>
      </c>
      <c r="H77" s="257" t="s">
        <v>656</v>
      </c>
      <c r="I77" s="336"/>
      <c r="J77" s="336"/>
      <c r="K77" s="336"/>
    </row>
    <row r="78" spans="1:15" x14ac:dyDescent="0.15">
      <c r="B78" s="389">
        <v>150</v>
      </c>
      <c r="C78" s="388">
        <v>200</v>
      </c>
      <c r="D78" s="388">
        <v>8</v>
      </c>
      <c r="E78" s="387">
        <v>240000</v>
      </c>
      <c r="F78" s="257" t="s">
        <v>180</v>
      </c>
      <c r="G78" s="388">
        <v>15</v>
      </c>
      <c r="H78" s="257" t="s">
        <v>656</v>
      </c>
      <c r="I78" s="336"/>
      <c r="J78" s="336"/>
      <c r="K78" s="336"/>
    </row>
    <row r="79" spans="1:15" x14ac:dyDescent="0.15">
      <c r="B79" s="385">
        <v>350</v>
      </c>
      <c r="C79" s="386">
        <v>200</v>
      </c>
      <c r="D79" s="386">
        <v>8</v>
      </c>
      <c r="E79" s="387">
        <f>B79*C79*D79</f>
        <v>560000</v>
      </c>
      <c r="F79" s="257" t="s">
        <v>180</v>
      </c>
      <c r="G79" s="388">
        <v>20</v>
      </c>
      <c r="H79" s="257" t="s">
        <v>656</v>
      </c>
      <c r="I79" s="336"/>
      <c r="J79" s="336"/>
      <c r="K79" s="336"/>
    </row>
    <row r="80" spans="1:15" x14ac:dyDescent="0.15">
      <c r="I80" s="336"/>
      <c r="J80" s="336"/>
      <c r="K80" s="336"/>
    </row>
    <row r="81" spans="1:11" x14ac:dyDescent="0.15">
      <c r="A81" s="381" t="s">
        <v>657</v>
      </c>
      <c r="B81" s="386">
        <v>10</v>
      </c>
      <c r="C81" s="257"/>
      <c r="I81" s="336"/>
      <c r="J81" s="336"/>
      <c r="K81" s="336"/>
    </row>
    <row r="82" spans="1:11" x14ac:dyDescent="0.15">
      <c r="I82" s="336"/>
      <c r="J82" s="336"/>
      <c r="K82" s="336"/>
    </row>
    <row r="83" spans="1:11" x14ac:dyDescent="0.15">
      <c r="A83" s="381" t="s">
        <v>658</v>
      </c>
      <c r="B83" s="390">
        <f>B84*C83/100</f>
        <v>108</v>
      </c>
      <c r="C83" s="391">
        <v>108</v>
      </c>
      <c r="D83" s="302">
        <v>2022</v>
      </c>
    </row>
    <row r="84" spans="1:11" x14ac:dyDescent="0.15">
      <c r="B84" s="392">
        <v>100</v>
      </c>
      <c r="C84" s="258">
        <v>2021</v>
      </c>
    </row>
    <row r="86" spans="1:11" ht="11.25" thickBot="1" x14ac:dyDescent="0.2"/>
    <row r="87" spans="1:11" x14ac:dyDescent="0.15">
      <c r="A87" s="393"/>
      <c r="C87" s="394" t="s">
        <v>249</v>
      </c>
      <c r="D87" s="283" t="s">
        <v>589</v>
      </c>
      <c r="E87" s="277" t="s">
        <v>581</v>
      </c>
      <c r="F87" s="276" t="s">
        <v>257</v>
      </c>
      <c r="G87" s="278" t="s">
        <v>259</v>
      </c>
      <c r="H87" s="279" t="s">
        <v>261</v>
      </c>
    </row>
    <row r="88" spans="1:11" x14ac:dyDescent="0.15">
      <c r="C88" s="395" t="s">
        <v>250</v>
      </c>
      <c r="D88" s="283" t="s">
        <v>590</v>
      </c>
      <c r="E88" s="283" t="s">
        <v>582</v>
      </c>
      <c r="F88" s="282" t="s">
        <v>258</v>
      </c>
      <c r="G88" s="284" t="s">
        <v>260</v>
      </c>
      <c r="H88" s="285" t="s">
        <v>262</v>
      </c>
    </row>
    <row r="89" spans="1:11" ht="11.25" thickBot="1" x14ac:dyDescent="0.2">
      <c r="C89" s="287" t="s">
        <v>591</v>
      </c>
      <c r="D89" s="287" t="s">
        <v>591</v>
      </c>
      <c r="E89" s="288" t="s">
        <v>591</v>
      </c>
      <c r="F89" s="288" t="s">
        <v>591</v>
      </c>
      <c r="G89" s="288" t="s">
        <v>591</v>
      </c>
      <c r="H89" s="288" t="s">
        <v>591</v>
      </c>
      <c r="I89" s="267" t="s">
        <v>592</v>
      </c>
    </row>
    <row r="90" spans="1:11" x14ac:dyDescent="0.15">
      <c r="A90" s="290" t="s">
        <v>593</v>
      </c>
      <c r="B90" s="396"/>
      <c r="C90" s="397" t="s">
        <v>594</v>
      </c>
      <c r="D90" s="293" t="s">
        <v>595</v>
      </c>
      <c r="E90" s="294" t="s">
        <v>596</v>
      </c>
      <c r="F90" s="292"/>
      <c r="G90" s="295"/>
      <c r="H90" s="296"/>
    </row>
    <row r="91" spans="1:11" x14ac:dyDescent="0.15">
      <c r="A91" s="297" t="s">
        <v>597</v>
      </c>
      <c r="B91" s="398" t="s">
        <v>598</v>
      </c>
      <c r="C91" s="399">
        <v>700</v>
      </c>
      <c r="D91" s="400">
        <v>1800</v>
      </c>
      <c r="E91" s="400">
        <v>2100</v>
      </c>
      <c r="F91" s="401">
        <v>17500</v>
      </c>
      <c r="G91" s="401">
        <v>52500</v>
      </c>
      <c r="H91" s="401">
        <v>122500</v>
      </c>
      <c r="I91" s="302">
        <v>105</v>
      </c>
    </row>
    <row r="92" spans="1:11" x14ac:dyDescent="0.15">
      <c r="A92" s="306" t="s">
        <v>600</v>
      </c>
      <c r="B92" s="398" t="s">
        <v>598</v>
      </c>
      <c r="C92" s="399">
        <v>270</v>
      </c>
      <c r="D92" s="400">
        <v>370</v>
      </c>
      <c r="E92" s="400">
        <v>370</v>
      </c>
      <c r="F92" s="401">
        <v>1600</v>
      </c>
      <c r="G92" s="402">
        <v>4200</v>
      </c>
      <c r="H92" s="403">
        <v>4200</v>
      </c>
      <c r="I92" s="302">
        <v>108</v>
      </c>
    </row>
    <row r="93" spans="1:11" x14ac:dyDescent="0.15">
      <c r="A93" s="308" t="s">
        <v>602</v>
      </c>
      <c r="B93" s="398" t="s">
        <v>598</v>
      </c>
      <c r="C93" s="399">
        <v>35</v>
      </c>
      <c r="D93" s="400">
        <v>90</v>
      </c>
      <c r="E93" s="400">
        <v>105</v>
      </c>
      <c r="F93" s="401">
        <v>7000</v>
      </c>
      <c r="G93" s="402">
        <v>21000</v>
      </c>
      <c r="H93" s="403">
        <v>49000</v>
      </c>
      <c r="I93" s="302">
        <v>108</v>
      </c>
    </row>
    <row r="94" spans="1:11" x14ac:dyDescent="0.15">
      <c r="A94" s="309" t="s">
        <v>604</v>
      </c>
      <c r="B94" s="398" t="s">
        <v>598</v>
      </c>
      <c r="C94" s="300">
        <f t="array" ref="C94:H94">TRANSPOSE($G$74:$G$79)*$B$83</f>
        <v>540</v>
      </c>
      <c r="D94" s="300">
        <v>540</v>
      </c>
      <c r="E94" s="300">
        <v>540</v>
      </c>
      <c r="F94" s="300">
        <v>1080</v>
      </c>
      <c r="G94" s="300">
        <v>1620</v>
      </c>
      <c r="H94" s="300">
        <v>2160</v>
      </c>
      <c r="I94" s="302">
        <v>108</v>
      </c>
    </row>
    <row r="95" spans="1:11" x14ac:dyDescent="0.15">
      <c r="A95" s="310" t="s">
        <v>606</v>
      </c>
      <c r="B95" s="398" t="s">
        <v>598</v>
      </c>
      <c r="C95" s="399">
        <v>0</v>
      </c>
      <c r="D95" s="400">
        <v>0</v>
      </c>
      <c r="E95" s="400">
        <v>0</v>
      </c>
      <c r="F95" s="401">
        <v>450</v>
      </c>
      <c r="G95" s="402">
        <v>1200</v>
      </c>
      <c r="H95" s="403">
        <v>3000</v>
      </c>
      <c r="I95" s="302">
        <v>105</v>
      </c>
    </row>
    <row r="96" spans="1:11" x14ac:dyDescent="0.15">
      <c r="A96" s="308" t="s">
        <v>330</v>
      </c>
      <c r="B96" s="404" t="s">
        <v>598</v>
      </c>
      <c r="C96" s="300">
        <f t="shared" ref="C96" si="14">SUM(C91:C95)</f>
        <v>1545</v>
      </c>
      <c r="D96" s="300">
        <f t="shared" ref="D96:H96" si="15">SUM(D91:D95)</f>
        <v>2800</v>
      </c>
      <c r="E96" s="300">
        <f t="shared" si="15"/>
        <v>3115</v>
      </c>
      <c r="F96" s="300">
        <f t="shared" si="15"/>
        <v>27630</v>
      </c>
      <c r="G96" s="300">
        <f t="shared" si="15"/>
        <v>80520</v>
      </c>
      <c r="H96" s="300">
        <f t="shared" si="15"/>
        <v>180860</v>
      </c>
    </row>
    <row r="97" spans="1:9" x14ac:dyDescent="0.15">
      <c r="A97" s="306" t="s">
        <v>609</v>
      </c>
      <c r="B97" s="398" t="s">
        <v>610</v>
      </c>
      <c r="C97" s="265">
        <f t="shared" ref="C97:H97" si="16">$B$81</f>
        <v>10</v>
      </c>
      <c r="D97" s="265">
        <f t="shared" si="16"/>
        <v>10</v>
      </c>
      <c r="E97" s="265">
        <f t="shared" si="16"/>
        <v>10</v>
      </c>
      <c r="F97" s="265">
        <f t="shared" si="16"/>
        <v>10</v>
      </c>
      <c r="G97" s="265">
        <f t="shared" si="16"/>
        <v>10</v>
      </c>
      <c r="H97" s="265">
        <f t="shared" si="16"/>
        <v>10</v>
      </c>
      <c r="I97" s="302">
        <v>100</v>
      </c>
    </row>
    <row r="98" spans="1:9" ht="11.25" thickBot="1" x14ac:dyDescent="0.2">
      <c r="A98" s="315" t="s">
        <v>330</v>
      </c>
      <c r="B98" s="405" t="s">
        <v>612</v>
      </c>
      <c r="C98" s="317">
        <f>C96/C97</f>
        <v>154.5</v>
      </c>
      <c r="D98" s="317">
        <f t="shared" ref="D98:H98" si="17">D96/D97</f>
        <v>280</v>
      </c>
      <c r="E98" s="317">
        <f t="shared" si="17"/>
        <v>311.5</v>
      </c>
      <c r="F98" s="317">
        <f t="shared" si="17"/>
        <v>2763</v>
      </c>
      <c r="G98" s="317">
        <f t="shared" si="17"/>
        <v>8052</v>
      </c>
      <c r="H98" s="317">
        <f t="shared" si="17"/>
        <v>18086</v>
      </c>
    </row>
    <row r="99" spans="1:9" ht="11.25" thickBot="1" x14ac:dyDescent="0.2">
      <c r="A99" s="281"/>
      <c r="B99" s="319"/>
      <c r="C99" s="394" t="s">
        <v>249</v>
      </c>
      <c r="D99" s="283" t="s">
        <v>589</v>
      </c>
      <c r="E99" s="277" t="s">
        <v>581</v>
      </c>
      <c r="F99" s="276" t="s">
        <v>257</v>
      </c>
      <c r="G99" s="278" t="s">
        <v>259</v>
      </c>
      <c r="H99" s="279" t="s">
        <v>261</v>
      </c>
    </row>
    <row r="100" spans="1:9" x14ac:dyDescent="0.15">
      <c r="A100" s="320" t="s">
        <v>613</v>
      </c>
      <c r="B100" s="406"/>
      <c r="C100" s="364"/>
      <c r="D100" s="323"/>
      <c r="E100" s="323"/>
      <c r="F100" s="324"/>
      <c r="G100" s="325"/>
      <c r="H100" s="326"/>
    </row>
    <row r="101" spans="1:9" x14ac:dyDescent="0.15">
      <c r="A101" s="310" t="s">
        <v>614</v>
      </c>
      <c r="B101" s="398" t="s">
        <v>612</v>
      </c>
      <c r="C101" s="399">
        <v>0</v>
      </c>
      <c r="D101" s="400">
        <v>224</v>
      </c>
      <c r="E101" s="400">
        <v>900</v>
      </c>
      <c r="F101" s="401">
        <v>2000</v>
      </c>
      <c r="G101" s="402">
        <v>2500</v>
      </c>
      <c r="H101" s="403">
        <v>5000</v>
      </c>
      <c r="I101" s="302">
        <v>105</v>
      </c>
    </row>
    <row r="102" spans="1:9" x14ac:dyDescent="0.15">
      <c r="A102" s="306" t="s">
        <v>616</v>
      </c>
      <c r="B102" s="398" t="s">
        <v>612</v>
      </c>
      <c r="C102" s="399">
        <v>10</v>
      </c>
      <c r="D102" s="400">
        <v>48</v>
      </c>
      <c r="E102" s="400">
        <v>70</v>
      </c>
      <c r="F102" s="400">
        <v>70</v>
      </c>
      <c r="G102" s="400">
        <v>70</v>
      </c>
      <c r="H102" s="400">
        <v>70</v>
      </c>
      <c r="I102" s="302">
        <v>105</v>
      </c>
    </row>
    <row r="103" spans="1:9" x14ac:dyDescent="0.15">
      <c r="A103" s="306" t="s">
        <v>618</v>
      </c>
      <c r="B103" s="398" t="s">
        <v>612</v>
      </c>
      <c r="C103" s="399">
        <f>C91*0.04</f>
        <v>28</v>
      </c>
      <c r="D103" s="399">
        <f t="shared" ref="D103:H103" si="18">D91*0.04</f>
        <v>72</v>
      </c>
      <c r="E103" s="399">
        <f t="shared" si="18"/>
        <v>84</v>
      </c>
      <c r="F103" s="399">
        <f t="shared" si="18"/>
        <v>700</v>
      </c>
      <c r="G103" s="399">
        <f t="shared" si="18"/>
        <v>2100</v>
      </c>
      <c r="H103" s="399">
        <f t="shared" si="18"/>
        <v>4900</v>
      </c>
      <c r="I103" s="302">
        <v>107</v>
      </c>
    </row>
    <row r="104" spans="1:9" x14ac:dyDescent="0.15">
      <c r="A104" s="306" t="s">
        <v>620</v>
      </c>
      <c r="B104" s="398" t="s">
        <v>612</v>
      </c>
      <c r="C104" s="399">
        <v>20</v>
      </c>
      <c r="D104" s="400">
        <v>20</v>
      </c>
      <c r="E104" s="400">
        <v>230</v>
      </c>
      <c r="F104" s="401">
        <f>F91*0.05</f>
        <v>875</v>
      </c>
      <c r="G104" s="401">
        <f t="shared" ref="G104:H104" si="19">G91*0.05</f>
        <v>2625</v>
      </c>
      <c r="H104" s="401">
        <f t="shared" si="19"/>
        <v>6125</v>
      </c>
      <c r="I104" s="302">
        <v>105</v>
      </c>
    </row>
    <row r="105" spans="1:9" ht="11.25" thickBot="1" x14ac:dyDescent="0.2">
      <c r="A105" s="327" t="s">
        <v>622</v>
      </c>
      <c r="B105" s="407" t="s">
        <v>612</v>
      </c>
      <c r="C105" s="399">
        <v>50</v>
      </c>
      <c r="D105" s="408">
        <v>50</v>
      </c>
      <c r="E105" s="408">
        <v>50</v>
      </c>
      <c r="F105" s="401">
        <v>100</v>
      </c>
      <c r="G105" s="402">
        <v>100</v>
      </c>
      <c r="H105" s="403">
        <v>100</v>
      </c>
      <c r="I105" s="302">
        <v>108</v>
      </c>
    </row>
    <row r="106" spans="1:9" ht="11.25" thickBot="1" x14ac:dyDescent="0.2">
      <c r="A106" s="329" t="s">
        <v>330</v>
      </c>
      <c r="B106" s="330" t="s">
        <v>612</v>
      </c>
      <c r="C106" s="332">
        <f t="shared" ref="C106" si="20">SUM(C101:C105)</f>
        <v>108</v>
      </c>
      <c r="D106" s="332">
        <f t="shared" ref="D106:H106" si="21">SUM(D101:D105)</f>
        <v>414</v>
      </c>
      <c r="E106" s="333">
        <f t="shared" si="21"/>
        <v>1334</v>
      </c>
      <c r="F106" s="334">
        <f t="shared" si="21"/>
        <v>3745</v>
      </c>
      <c r="G106" s="332">
        <f t="shared" si="21"/>
        <v>7395</v>
      </c>
      <c r="H106" s="332">
        <f t="shared" si="21"/>
        <v>16195</v>
      </c>
    </row>
    <row r="107" spans="1:9" ht="11.25" thickBot="1" x14ac:dyDescent="0.2">
      <c r="A107" s="281"/>
      <c r="B107" s="319"/>
      <c r="C107" s="394" t="s">
        <v>249</v>
      </c>
      <c r="D107" s="283" t="s">
        <v>589</v>
      </c>
      <c r="E107" s="277" t="s">
        <v>581</v>
      </c>
      <c r="F107" s="282" t="s">
        <v>257</v>
      </c>
      <c r="G107" s="284" t="s">
        <v>259</v>
      </c>
      <c r="H107" s="285" t="s">
        <v>261</v>
      </c>
    </row>
    <row r="108" spans="1:9" x14ac:dyDescent="0.15">
      <c r="A108" s="320" t="s">
        <v>624</v>
      </c>
      <c r="B108" s="321"/>
      <c r="C108" s="364"/>
      <c r="D108" s="323"/>
      <c r="E108" s="323"/>
      <c r="F108" s="324"/>
      <c r="G108" s="325"/>
      <c r="H108" s="326"/>
    </row>
    <row r="109" spans="1:9" x14ac:dyDescent="0.15">
      <c r="A109" s="306" t="s">
        <v>625</v>
      </c>
      <c r="B109" s="298" t="s">
        <v>626</v>
      </c>
      <c r="C109" s="409">
        <f t="shared" ref="C109:H109" si="22">$E$66</f>
        <v>8.8700000000000001E-2</v>
      </c>
      <c r="D109" s="409">
        <f t="shared" si="22"/>
        <v>8.8700000000000001E-2</v>
      </c>
      <c r="E109" s="409">
        <f t="shared" si="22"/>
        <v>8.8700000000000001E-2</v>
      </c>
      <c r="F109" s="409">
        <f t="shared" si="22"/>
        <v>8.8700000000000001E-2</v>
      </c>
      <c r="G109" s="409">
        <f t="shared" si="22"/>
        <v>8.8700000000000001E-2</v>
      </c>
      <c r="H109" s="409">
        <f t="shared" si="22"/>
        <v>8.8700000000000001E-2</v>
      </c>
      <c r="I109" s="302">
        <v>2022</v>
      </c>
    </row>
    <row r="110" spans="1:9" x14ac:dyDescent="0.15">
      <c r="A110" s="306" t="s">
        <v>627</v>
      </c>
      <c r="B110" s="298" t="s">
        <v>626</v>
      </c>
      <c r="C110" s="409">
        <f t="shared" ref="C110:H110" si="23">$C$66+$D$66</f>
        <v>3.4790000000000001E-2</v>
      </c>
      <c r="D110" s="409">
        <f t="shared" si="23"/>
        <v>3.4790000000000001E-2</v>
      </c>
      <c r="E110" s="409">
        <f t="shared" si="23"/>
        <v>3.4790000000000001E-2</v>
      </c>
      <c r="F110" s="409">
        <f t="shared" si="23"/>
        <v>3.4790000000000001E-2</v>
      </c>
      <c r="G110" s="409">
        <f t="shared" si="23"/>
        <v>3.4790000000000001E-2</v>
      </c>
      <c r="H110" s="409">
        <f t="shared" si="23"/>
        <v>3.4790000000000001E-2</v>
      </c>
      <c r="I110" s="302">
        <v>2022</v>
      </c>
    </row>
    <row r="111" spans="1:9" ht="11.25" thickBot="1" x14ac:dyDescent="0.2">
      <c r="A111" s="329" t="s">
        <v>330</v>
      </c>
      <c r="B111" s="298" t="s">
        <v>626</v>
      </c>
      <c r="C111" s="343">
        <f t="shared" ref="C111:H111" si="24">SUM(C109:C110)</f>
        <v>0.12349</v>
      </c>
      <c r="D111" s="343">
        <f t="shared" si="24"/>
        <v>0.12349</v>
      </c>
      <c r="E111" s="343">
        <f t="shared" si="24"/>
        <v>0.12349</v>
      </c>
      <c r="F111" s="343">
        <f t="shared" si="24"/>
        <v>0.12349</v>
      </c>
      <c r="G111" s="343">
        <f t="shared" si="24"/>
        <v>0.12349</v>
      </c>
      <c r="H111" s="343">
        <f t="shared" si="24"/>
        <v>0.12349</v>
      </c>
    </row>
    <row r="112" spans="1:9" ht="11.25" thickBot="1" x14ac:dyDescent="0.2">
      <c r="A112" s="281"/>
      <c r="B112" s="347"/>
      <c r="C112" s="410"/>
      <c r="D112" s="319"/>
      <c r="E112" s="346"/>
      <c r="F112" s="345"/>
      <c r="G112" s="347"/>
      <c r="H112" s="348"/>
    </row>
    <row r="113" spans="1:8" x14ac:dyDescent="0.15">
      <c r="A113" s="349" t="s">
        <v>628</v>
      </c>
      <c r="B113" s="411" t="s">
        <v>629</v>
      </c>
      <c r="C113" s="352">
        <f t="shared" ref="C113:H113" si="25">C98+C106</f>
        <v>262.5</v>
      </c>
      <c r="D113" s="352">
        <f t="shared" si="25"/>
        <v>694</v>
      </c>
      <c r="E113" s="352">
        <f t="shared" si="25"/>
        <v>1645.5</v>
      </c>
      <c r="F113" s="352">
        <f t="shared" si="25"/>
        <v>6508</v>
      </c>
      <c r="G113" s="352">
        <f t="shared" si="25"/>
        <v>15447</v>
      </c>
      <c r="H113" s="352">
        <f t="shared" si="25"/>
        <v>34281</v>
      </c>
    </row>
    <row r="114" spans="1:8" ht="11.25" thickBot="1" x14ac:dyDescent="0.2">
      <c r="A114" s="315" t="s">
        <v>630</v>
      </c>
      <c r="B114" s="405" t="s">
        <v>631</v>
      </c>
      <c r="C114" s="412">
        <f>C111</f>
        <v>0.12349</v>
      </c>
      <c r="D114" s="412">
        <f>D111</f>
        <v>0.12349</v>
      </c>
      <c r="E114" s="412">
        <f t="shared" ref="E114" si="26">E111</f>
        <v>0.12349</v>
      </c>
      <c r="F114" s="412">
        <f>F111</f>
        <v>0.12349</v>
      </c>
      <c r="G114" s="412">
        <f>G111</f>
        <v>0.12349</v>
      </c>
      <c r="H114" s="412">
        <f>H111</f>
        <v>0.12349</v>
      </c>
    </row>
  </sheetData>
  <hyperlinks>
    <hyperlink ref="C67" r:id="rId1" display="https://www.belastingdienst.nl/wps/wcm/connect/bldcontentnl/belastingdienst/zakelijk/overige_belastingen/belastingen_op_milieugrondslag/tarieven_milieubelastingen/tabellen_tarieven_milieubelastingen" xr:uid="{00000000-0004-0000-0F00-000000000000}"/>
  </hyperlinks>
  <pageMargins left="0.7" right="0.7" top="0.75" bottom="0.75" header="0.3" footer="0.3"/>
  <pageSetup paperSize="9" orientation="portrait" r:id="rId2"/>
  <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T460"/>
  <sheetViews>
    <sheetView topLeftCell="A121" workbookViewId="0">
      <selection activeCell="D127" sqref="D127"/>
    </sheetView>
  </sheetViews>
  <sheetFormatPr defaultRowHeight="10.5" x14ac:dyDescent="0.15"/>
  <cols>
    <col min="1" max="1" width="9.140625" style="478"/>
    <col min="2" max="4" width="38.140625" style="93" customWidth="1"/>
    <col min="6" max="6" width="29.5703125" bestFit="1" customWidth="1"/>
    <col min="7" max="7" width="30.85546875" bestFit="1" customWidth="1"/>
    <col min="8" max="8" width="30.140625" bestFit="1" customWidth="1"/>
    <col min="11" max="11" width="30.140625" bestFit="1" customWidth="1"/>
    <col min="12" max="12" width="30.28515625" bestFit="1" customWidth="1"/>
    <col min="14" max="14" width="32.85546875" style="100" bestFit="1" customWidth="1"/>
    <col min="15" max="15" width="11.85546875" bestFit="1" customWidth="1"/>
    <col min="16" max="17" width="11.28515625" bestFit="1" customWidth="1"/>
    <col min="20" max="20" width="68.85546875" customWidth="1"/>
  </cols>
  <sheetData>
    <row r="1" spans="1:20" x14ac:dyDescent="0.15">
      <c r="A1" s="477" t="s">
        <v>687</v>
      </c>
      <c r="B1" s="497" t="str">
        <f>'Read Me'!B1</f>
        <v>Nederlands</v>
      </c>
      <c r="C1" s="479" t="s">
        <v>287</v>
      </c>
      <c r="D1" s="479" t="s">
        <v>288</v>
      </c>
    </row>
    <row r="2" spans="1:20" x14ac:dyDescent="0.15">
      <c r="A2" s="478">
        <v>2</v>
      </c>
      <c r="B2" s="480" t="str">
        <f t="shared" ref="B2:B65" si="0">+HLOOKUP($B$1,$C$1:$D$505,$A2,0)</f>
        <v>J</v>
      </c>
      <c r="C2" s="480" t="s">
        <v>35</v>
      </c>
      <c r="D2" s="480" t="s">
        <v>286</v>
      </c>
      <c r="H2" t="str">
        <f>IF(Calculatie!$B$3&gt;=4,Config!$B$3,Config!$B$2)</f>
        <v>J</v>
      </c>
      <c r="O2" t="s">
        <v>177</v>
      </c>
      <c r="P2" t="s">
        <v>179</v>
      </c>
      <c r="Q2" t="s">
        <v>182</v>
      </c>
    </row>
    <row r="3" spans="1:20" x14ac:dyDescent="0.15">
      <c r="A3" s="478">
        <f>+A2+1</f>
        <v>3</v>
      </c>
      <c r="B3" s="480" t="str">
        <f t="shared" si="0"/>
        <v>N</v>
      </c>
      <c r="C3" s="480" t="s">
        <v>53</v>
      </c>
      <c r="D3" s="480" t="s">
        <v>53</v>
      </c>
      <c r="H3" t="str">
        <f>IF(Calculatie!$B$3&gt;=4,"",Config!$B$3)</f>
        <v>N</v>
      </c>
      <c r="N3" s="100" t="s">
        <v>498</v>
      </c>
      <c r="O3" s="123" t="str">
        <f>TEXT(Calculatie!B39,"€#.##0,00")</f>
        <v>€30.563,18</v>
      </c>
      <c r="P3" s="123" t="str">
        <f>TEXT(Calculatie!C39,"€#.##0,00")</f>
        <v>€57.775,39</v>
      </c>
      <c r="Q3" s="123" t="str">
        <f>TEXT(Calculatie!D39,"€#.##0,00")</f>
        <v>€95.008,12</v>
      </c>
      <c r="T3" s="414"/>
    </row>
    <row r="4" spans="1:20" x14ac:dyDescent="0.15">
      <c r="A4" s="478">
        <f t="shared" ref="A4:A66" si="1">+A3+1</f>
        <v>4</v>
      </c>
      <c r="B4" s="480" t="str">
        <f t="shared" si="0"/>
        <v>Opslaan</v>
      </c>
      <c r="C4" s="480" t="s">
        <v>496</v>
      </c>
      <c r="D4" s="480" t="s">
        <v>497</v>
      </c>
      <c r="F4" s="512"/>
      <c r="G4" s="512"/>
      <c r="H4" s="512" t="s">
        <v>905</v>
      </c>
      <c r="N4" s="100" t="s">
        <v>29</v>
      </c>
      <c r="P4" t="str">
        <f>CONCATENATE('M1-PowerSupply'!B36," kW/u")</f>
        <v>50 kW/u</v>
      </c>
    </row>
    <row r="5" spans="1:20" x14ac:dyDescent="0.15">
      <c r="A5" s="478">
        <f t="shared" si="1"/>
        <v>5</v>
      </c>
      <c r="B5" s="480" t="str">
        <f t="shared" si="0"/>
        <v>Toegepaste waarde:</v>
      </c>
      <c r="C5" s="480" t="s">
        <v>502</v>
      </c>
      <c r="D5" s="480" t="s">
        <v>503</v>
      </c>
      <c r="F5" s="512"/>
      <c r="G5" s="513"/>
      <c r="H5" s="513"/>
      <c r="N5" s="475" t="s">
        <v>30</v>
      </c>
      <c r="P5" t="str">
        <f>CONCATENATE(Calculatie!C26," kWh")</f>
        <v>260 kWh</v>
      </c>
      <c r="Q5" t="str">
        <f>CONCATENATE(Calculatie!D26," kWh")</f>
        <v>140 kWh</v>
      </c>
    </row>
    <row r="6" spans="1:20" x14ac:dyDescent="0.15">
      <c r="A6" s="478">
        <f t="shared" si="1"/>
        <v>6</v>
      </c>
      <c r="B6" s="480" t="str">
        <f t="shared" si="0"/>
        <v>Grijs</v>
      </c>
      <c r="C6" s="480" t="s">
        <v>149</v>
      </c>
      <c r="D6" s="480" t="s">
        <v>150</v>
      </c>
      <c r="E6" s="510"/>
      <c r="F6" s="514"/>
      <c r="G6" s="513"/>
      <c r="H6" s="513"/>
      <c r="N6" s="475" t="s">
        <v>31</v>
      </c>
      <c r="Q6" t="str">
        <f>CONCATENATE(Calculatie!D32," kg")</f>
        <v>20 kg</v>
      </c>
    </row>
    <row r="7" spans="1:20" x14ac:dyDescent="0.15">
      <c r="A7" s="478">
        <f t="shared" si="1"/>
        <v>7</v>
      </c>
      <c r="B7" s="480" t="str">
        <f t="shared" si="0"/>
        <v>Blauw</v>
      </c>
      <c r="C7" s="480" t="s">
        <v>679</v>
      </c>
      <c r="D7" s="480" t="s">
        <v>151</v>
      </c>
      <c r="E7" s="510"/>
      <c r="F7" s="515"/>
      <c r="G7" s="512"/>
      <c r="H7" s="512"/>
      <c r="N7" s="475" t="s">
        <v>34</v>
      </c>
      <c r="O7" s="123"/>
      <c r="P7" s="123" t="str">
        <f>TEXT(Calculatie!C36,"€#.##0,00")</f>
        <v>€250.000,00</v>
      </c>
      <c r="Q7" s="123" t="str">
        <f>TEXT(Calculatie!D36,"€#.##0,00")</f>
        <v>€411.109,82</v>
      </c>
    </row>
    <row r="8" spans="1:20" x14ac:dyDescent="0.15">
      <c r="A8" s="478">
        <f t="shared" si="1"/>
        <v>8</v>
      </c>
      <c r="B8" s="480" t="str">
        <f t="shared" si="0"/>
        <v>Electrolyse (netstroom)</v>
      </c>
      <c r="C8" s="480" t="s">
        <v>680</v>
      </c>
      <c r="D8" s="480" t="s">
        <v>678</v>
      </c>
      <c r="E8" s="510"/>
      <c r="F8" s="515"/>
      <c r="G8" s="512"/>
      <c r="H8" s="512"/>
      <c r="N8" s="475" t="s">
        <v>155</v>
      </c>
      <c r="O8" s="123"/>
      <c r="P8" s="123" t="str">
        <f>TEXT(Calculatie!C46,"€#.##0,00")</f>
        <v>€0,00</v>
      </c>
      <c r="Q8" s="123" t="str">
        <f>TEXT(Calculatie!D46,"€#.##0,00")</f>
        <v>€0,00</v>
      </c>
    </row>
    <row r="9" spans="1:20" x14ac:dyDescent="0.15">
      <c r="A9" s="478">
        <f t="shared" si="1"/>
        <v>9</v>
      </c>
      <c r="B9" s="480" t="str">
        <f t="shared" si="0"/>
        <v>Electrolyse (hernieuwbare energie)</v>
      </c>
      <c r="C9" s="480" t="s">
        <v>681</v>
      </c>
      <c r="D9" s="480" t="s">
        <v>677</v>
      </c>
      <c r="E9" s="510"/>
      <c r="F9" s="515"/>
      <c r="G9" s="512"/>
      <c r="H9" s="512"/>
      <c r="N9" s="475" t="s">
        <v>37</v>
      </c>
      <c r="O9" s="123"/>
      <c r="P9" s="123" t="str">
        <f>TEXT(Calculatie!C47,"€#.##0,00")</f>
        <v>€0,00</v>
      </c>
      <c r="Q9" s="123" t="str">
        <f>TEXT(Calculatie!D47,"€#.##0,00")</f>
        <v>€0,00</v>
      </c>
    </row>
    <row r="10" spans="1:20" x14ac:dyDescent="0.15">
      <c r="A10" s="478">
        <f t="shared" si="1"/>
        <v>10</v>
      </c>
      <c r="B10" s="480" t="str">
        <f t="shared" si="0"/>
        <v>Naam dataset</v>
      </c>
      <c r="C10" s="480" t="s">
        <v>5</v>
      </c>
      <c r="D10" s="480" t="s">
        <v>688</v>
      </c>
      <c r="E10" s="510"/>
      <c r="F10" s="515"/>
      <c r="G10" s="512"/>
      <c r="H10" s="512"/>
      <c r="N10" s="475" t="s">
        <v>40</v>
      </c>
      <c r="O10" s="123"/>
      <c r="P10" s="123" t="str">
        <f>TEXT(Calculatie!C42,"€#.##0,00")</f>
        <v>€18.375,00</v>
      </c>
      <c r="Q10" s="123"/>
    </row>
    <row r="11" spans="1:20" x14ac:dyDescent="0.15">
      <c r="A11" s="478">
        <f t="shared" si="1"/>
        <v>11</v>
      </c>
      <c r="B11" s="480" t="str">
        <f t="shared" si="0"/>
        <v>BASIS INVOERGEGEVENS</v>
      </c>
      <c r="C11" s="480" t="s">
        <v>7</v>
      </c>
      <c r="D11" s="480" t="s">
        <v>689</v>
      </c>
      <c r="E11" s="510"/>
      <c r="F11" s="515"/>
      <c r="G11" s="512"/>
      <c r="H11" s="512"/>
      <c r="N11" s="475" t="s">
        <v>42</v>
      </c>
      <c r="O11" s="123" t="str">
        <f>TEXT(Calculatie!B40,"€#.##0,00")</f>
        <v>€0,00</v>
      </c>
      <c r="P11" s="123" t="str">
        <f>TEXT(Calculatie!C45,"€#.##0,00")</f>
        <v>€10.840,50</v>
      </c>
    </row>
    <row r="12" spans="1:20" x14ac:dyDescent="0.15">
      <c r="A12" s="478">
        <f t="shared" si="1"/>
        <v>12</v>
      </c>
      <c r="B12" s="480" t="str">
        <f t="shared" si="0"/>
        <v>INZETGEGEVENS VOERTUIG SYSTEM</v>
      </c>
      <c r="C12" s="480" t="s">
        <v>8</v>
      </c>
      <c r="D12" s="480" t="s">
        <v>690</v>
      </c>
      <c r="E12" s="510"/>
      <c r="F12" s="515"/>
      <c r="G12" s="512"/>
      <c r="H12" s="512"/>
      <c r="N12" s="475" t="s">
        <v>501</v>
      </c>
      <c r="O12" s="123"/>
      <c r="P12" s="123" t="str">
        <f>TEXT(Calculatie!C48,"€#.##0,00")</f>
        <v>€0,00</v>
      </c>
      <c r="Q12" s="123"/>
    </row>
    <row r="13" spans="1:20" x14ac:dyDescent="0.15">
      <c r="A13" s="478">
        <f t="shared" si="1"/>
        <v>13</v>
      </c>
      <c r="B13" s="480" t="str">
        <f t="shared" si="0"/>
        <v>Dieselvoertuig</v>
      </c>
      <c r="C13" s="480" t="s">
        <v>691</v>
      </c>
      <c r="D13" s="480" t="s">
        <v>529</v>
      </c>
      <c r="E13" s="510"/>
      <c r="F13" s="515"/>
      <c r="G13" s="512"/>
      <c r="H13" s="512"/>
      <c r="N13" s="475" t="s">
        <v>54</v>
      </c>
      <c r="O13" s="123" t="str">
        <f>TEXT(Calculatie!B72,"€#.##0,00")</f>
        <v>€1,92</v>
      </c>
      <c r="P13" s="123" t="str">
        <f>TEXT(Calculatie!C72,"€#.##0,00")</f>
        <v>€0,12</v>
      </c>
      <c r="Q13" s="123" t="str">
        <f>TEXT(Calculatie!D72,"€#.##0,00")</f>
        <v>€10,00</v>
      </c>
    </row>
    <row r="14" spans="1:20" x14ac:dyDescent="0.15">
      <c r="A14" s="478">
        <f t="shared" si="1"/>
        <v>14</v>
      </c>
      <c r="B14" s="480" t="str">
        <f t="shared" si="0"/>
        <v xml:space="preserve">Elektrisch voertuig </v>
      </c>
      <c r="C14" s="480" t="s">
        <v>692</v>
      </c>
      <c r="D14" s="480" t="s">
        <v>693</v>
      </c>
      <c r="E14" s="510"/>
      <c r="F14" s="515"/>
      <c r="G14" s="512"/>
      <c r="H14" s="512"/>
      <c r="N14" s="475" t="s">
        <v>431</v>
      </c>
      <c r="O14" s="123" t="str">
        <f>TEXT(Calculatie!B82,"€#.##0,00")</f>
        <v>€0,00</v>
      </c>
    </row>
    <row r="15" spans="1:20" x14ac:dyDescent="0.15">
      <c r="A15" s="478">
        <f t="shared" si="1"/>
        <v>15</v>
      </c>
      <c r="B15" s="480" t="str">
        <f t="shared" si="0"/>
        <v>Waterstof voertuig</v>
      </c>
      <c r="C15" s="480" t="s">
        <v>11</v>
      </c>
      <c r="D15" s="480" t="s">
        <v>694</v>
      </c>
      <c r="E15" s="510"/>
      <c r="F15" s="511"/>
      <c r="G15" s="512"/>
      <c r="H15" s="512"/>
      <c r="N15" s="475" t="s">
        <v>41</v>
      </c>
      <c r="O15" t="str">
        <f>CONCATENATE(Calculatie!B85*100," %")</f>
        <v>75 %</v>
      </c>
    </row>
    <row r="16" spans="1:20" x14ac:dyDescent="0.15">
      <c r="A16" s="478">
        <f t="shared" si="1"/>
        <v>16</v>
      </c>
      <c r="B16" s="480" t="str">
        <f t="shared" si="0"/>
        <v>Voertuigtype</v>
      </c>
      <c r="C16" s="480" t="s">
        <v>12</v>
      </c>
      <c r="D16" s="480" t="s">
        <v>408</v>
      </c>
      <c r="E16" s="510"/>
      <c r="F16" s="510"/>
      <c r="N16" s="475" t="s">
        <v>675</v>
      </c>
      <c r="O16" t="str">
        <f>TEXT(Calculatie!B107,"€#.##0")</f>
        <v>€1.000</v>
      </c>
      <c r="P16" t="str">
        <f>TEXT(Calculatie!C107,"€#.##0")</f>
        <v>€1.000</v>
      </c>
      <c r="Q16" t="str">
        <f>TEXT(Calculatie!D107,"€#.##0")</f>
        <v>€3.000</v>
      </c>
    </row>
    <row r="17" spans="1:15" x14ac:dyDescent="0.15">
      <c r="A17" s="478">
        <f t="shared" si="1"/>
        <v>17</v>
      </c>
      <c r="B17" s="480" t="str">
        <f t="shared" si="0"/>
        <v>Koelmachine (J/N)</v>
      </c>
      <c r="C17" s="480" t="s">
        <v>14</v>
      </c>
      <c r="D17" s="480" t="s">
        <v>695</v>
      </c>
      <c r="N17" s="476" t="str">
        <f>CONCATENATE('M2-Subsidie'!A4,": ",'M2-Subsidie'!C4,CHAR(10),'M2-Subsidie'!A5,": ",'M2-Subsidie'!C5,CHAR(10),'M2-Subsidie'!A6,": ",'M2-Subsidie'!C6,CHAR(10))</f>
        <v xml:space="preserve">Groot: &gt;250 fte, &gt;€50 mil omzet
Middelgroot: &lt;250 fte, &lt;€50 mil omzet
Klein: &lt;50 fte, &lt;€10 mil omzet
</v>
      </c>
    </row>
    <row r="18" spans="1:15" x14ac:dyDescent="0.15">
      <c r="A18" s="478">
        <f t="shared" si="1"/>
        <v>18</v>
      </c>
      <c r="B18" s="480" t="str">
        <f t="shared" si="0"/>
        <v>Verwacht jaarkilometrage</v>
      </c>
      <c r="C18" s="480" t="s">
        <v>17</v>
      </c>
      <c r="D18" s="480" t="s">
        <v>696</v>
      </c>
      <c r="N18" s="475" t="s">
        <v>682</v>
      </c>
      <c r="O18" t="str">
        <f>TEXT(Calculatie!B5,"#.##0")</f>
        <v>70.000</v>
      </c>
    </row>
    <row r="19" spans="1:15" x14ac:dyDescent="0.15">
      <c r="A19" s="478">
        <f t="shared" si="1"/>
        <v>19</v>
      </c>
      <c r="B19" s="480" t="str">
        <f t="shared" si="0"/>
        <v>Grijze/groene elektriciciteit</v>
      </c>
      <c r="C19" s="480" t="s">
        <v>19</v>
      </c>
      <c r="D19" s="480" t="s">
        <v>697</v>
      </c>
    </row>
    <row r="20" spans="1:15" x14ac:dyDescent="0.15">
      <c r="A20" s="478">
        <f t="shared" si="1"/>
        <v>20</v>
      </c>
      <c r="B20" s="480" t="str">
        <f t="shared" si="0"/>
        <v>Grijze/groene waterstof</v>
      </c>
      <c r="C20" s="480" t="s">
        <v>22</v>
      </c>
      <c r="D20" s="480" t="s">
        <v>698</v>
      </c>
    </row>
    <row r="21" spans="1:15" x14ac:dyDescent="0.15">
      <c r="A21" s="478">
        <f t="shared" si="1"/>
        <v>21</v>
      </c>
      <c r="B21" s="480" t="str">
        <f t="shared" si="0"/>
        <v>Rechtsvorm en belastingpercentage</v>
      </c>
      <c r="C21" s="480" t="s">
        <v>24</v>
      </c>
      <c r="D21" s="480" t="s">
        <v>699</v>
      </c>
    </row>
    <row r="22" spans="1:15" x14ac:dyDescent="0.15">
      <c r="A22" s="478">
        <f t="shared" si="1"/>
        <v>22</v>
      </c>
      <c r="B22" s="480" t="str">
        <f t="shared" si="0"/>
        <v>Basisjaar prognose</v>
      </c>
      <c r="C22" s="480" t="s">
        <v>26</v>
      </c>
      <c r="D22" s="480" t="s">
        <v>700</v>
      </c>
    </row>
    <row r="23" spans="1:15" x14ac:dyDescent="0.15">
      <c r="A23" s="478">
        <f t="shared" si="1"/>
        <v>23</v>
      </c>
      <c r="B23" s="480" t="str">
        <f t="shared" si="0"/>
        <v>Grootte van bedrijf</v>
      </c>
      <c r="C23" s="480" t="s">
        <v>27</v>
      </c>
      <c r="D23" s="480" t="s">
        <v>701</v>
      </c>
    </row>
    <row r="24" spans="1:15" x14ac:dyDescent="0.15">
      <c r="A24" s="478">
        <f t="shared" si="1"/>
        <v>24</v>
      </c>
      <c r="B24" s="480" t="str">
        <f t="shared" si="0"/>
        <v>Economische levensduur [jaren]</v>
      </c>
      <c r="C24" s="480" t="s">
        <v>158</v>
      </c>
      <c r="D24" s="480" t="s">
        <v>702</v>
      </c>
    </row>
    <row r="25" spans="1:15" x14ac:dyDescent="0.15">
      <c r="A25" s="478">
        <f t="shared" si="1"/>
        <v>25</v>
      </c>
      <c r="B25" s="480" t="str">
        <f t="shared" si="0"/>
        <v xml:space="preserve">Restwaarde </v>
      </c>
      <c r="C25" s="480" t="s">
        <v>16</v>
      </c>
      <c r="D25" s="480" t="s">
        <v>703</v>
      </c>
    </row>
    <row r="26" spans="1:15" x14ac:dyDescent="0.15">
      <c r="A26" s="478">
        <f t="shared" si="1"/>
        <v>26</v>
      </c>
      <c r="B26" s="480" t="str">
        <f t="shared" si="0"/>
        <v>Productieve uren per jaar</v>
      </c>
      <c r="C26" s="480" t="s">
        <v>18</v>
      </c>
      <c r="D26" s="480" t="s">
        <v>704</v>
      </c>
    </row>
    <row r="27" spans="1:15" x14ac:dyDescent="0.15">
      <c r="A27" s="478">
        <f t="shared" si="1"/>
        <v>27</v>
      </c>
      <c r="B27" s="480" t="str">
        <f t="shared" si="0"/>
        <v>Kosten van reparaties</v>
      </c>
      <c r="C27" s="480" t="s">
        <v>21</v>
      </c>
      <c r="D27" s="480" t="s">
        <v>705</v>
      </c>
    </row>
    <row r="28" spans="1:15" x14ac:dyDescent="0.15">
      <c r="A28" s="478">
        <f t="shared" si="1"/>
        <v>28</v>
      </c>
      <c r="B28" s="480" t="str">
        <f t="shared" si="0"/>
        <v>Stilstand [dagen per jaar]</v>
      </c>
      <c r="C28" s="480" t="s">
        <v>159</v>
      </c>
      <c r="D28" s="480" t="s">
        <v>706</v>
      </c>
    </row>
    <row r="29" spans="1:15" x14ac:dyDescent="0.15">
      <c r="A29" s="478">
        <f t="shared" si="1"/>
        <v>29</v>
      </c>
      <c r="B29" s="480" t="str">
        <f>+HLOOKUP($B$1,$C$1:$D$505,$A29,0)</f>
        <v>Vermogen eigen oplaadsysteem (kW)</v>
      </c>
      <c r="C29" s="480" t="s">
        <v>29</v>
      </c>
      <c r="D29" s="480" t="s">
        <v>707</v>
      </c>
    </row>
    <row r="30" spans="1:15" x14ac:dyDescent="0.15">
      <c r="A30" s="478">
        <f t="shared" si="1"/>
        <v>30</v>
      </c>
      <c r="B30" s="480" t="str">
        <f t="shared" si="0"/>
        <v xml:space="preserve">Capaciteit vrachtwagenbatterij (kWh) </v>
      </c>
      <c r="C30" s="480" t="s">
        <v>30</v>
      </c>
      <c r="D30" s="480" t="s">
        <v>708</v>
      </c>
    </row>
    <row r="31" spans="1:15" x14ac:dyDescent="0.15">
      <c r="A31" s="478">
        <f t="shared" si="1"/>
        <v>31</v>
      </c>
      <c r="B31" s="480" t="str">
        <f t="shared" si="0"/>
        <v>Waterstof opslag tank (kg)</v>
      </c>
      <c r="C31" s="480" t="s">
        <v>31</v>
      </c>
      <c r="D31" s="480" t="s">
        <v>709</v>
      </c>
      <c r="K31" s="100"/>
    </row>
    <row r="32" spans="1:15" x14ac:dyDescent="0.15">
      <c r="A32" s="478">
        <f t="shared" si="1"/>
        <v>32</v>
      </c>
      <c r="B32" s="480" t="str">
        <f t="shared" si="0"/>
        <v>AANKOOPPRIJS</v>
      </c>
      <c r="C32" s="480" t="s">
        <v>33</v>
      </c>
      <c r="D32" s="480" t="s">
        <v>710</v>
      </c>
      <c r="K32" s="100"/>
    </row>
    <row r="33" spans="1:11" x14ac:dyDescent="0.15">
      <c r="A33" s="478">
        <f t="shared" si="1"/>
        <v>33</v>
      </c>
      <c r="B33" s="480" t="str">
        <f t="shared" si="0"/>
        <v xml:space="preserve">Bruto aankoopprijs </v>
      </c>
      <c r="C33" s="480" t="s">
        <v>34</v>
      </c>
      <c r="D33" s="480" t="s">
        <v>711</v>
      </c>
      <c r="K33" s="100"/>
    </row>
    <row r="34" spans="1:11" x14ac:dyDescent="0.15">
      <c r="A34" s="478">
        <f t="shared" si="1"/>
        <v>34</v>
      </c>
      <c r="B34" s="480" t="str">
        <f t="shared" si="0"/>
        <v>AanZET-subsidie</v>
      </c>
      <c r="C34" s="480" t="s">
        <v>155</v>
      </c>
      <c r="D34" s="480" t="s">
        <v>712</v>
      </c>
      <c r="K34" s="100"/>
    </row>
    <row r="35" spans="1:11" x14ac:dyDescent="0.15">
      <c r="A35" s="478">
        <f t="shared" si="1"/>
        <v>35</v>
      </c>
      <c r="B35" s="480" t="str">
        <f t="shared" si="0"/>
        <v>MIA-subsidie</v>
      </c>
      <c r="C35" s="480" t="s">
        <v>37</v>
      </c>
      <c r="D35" s="480" t="s">
        <v>835</v>
      </c>
    </row>
    <row r="36" spans="1:11" x14ac:dyDescent="0.15">
      <c r="A36" s="478">
        <f t="shared" si="1"/>
        <v>36</v>
      </c>
      <c r="B36" s="480" t="str">
        <f t="shared" si="0"/>
        <v>Netto aankoopprijs</v>
      </c>
      <c r="C36" s="480" t="s">
        <v>38</v>
      </c>
      <c r="D36" s="480" t="s">
        <v>713</v>
      </c>
    </row>
    <row r="37" spans="1:11" x14ac:dyDescent="0.15">
      <c r="A37" s="478">
        <f t="shared" si="1"/>
        <v>37</v>
      </c>
      <c r="B37" s="480" t="str">
        <f t="shared" si="0"/>
        <v xml:space="preserve">Bruto kosten inkoopoplaadsysteem </v>
      </c>
      <c r="C37" s="480" t="s">
        <v>40</v>
      </c>
      <c r="D37" s="480" t="s">
        <v>714</v>
      </c>
    </row>
    <row r="38" spans="1:11" ht="21" x14ac:dyDescent="0.15">
      <c r="A38" s="478">
        <f t="shared" si="1"/>
        <v>38</v>
      </c>
      <c r="B38" s="480" t="str">
        <f t="shared" si="0"/>
        <v xml:space="preserve"> Bruto kosten aanleg oplaadsysteem </v>
      </c>
      <c r="C38" s="480" t="s">
        <v>42</v>
      </c>
      <c r="D38" s="480" t="s">
        <v>715</v>
      </c>
    </row>
    <row r="39" spans="1:11" ht="21" x14ac:dyDescent="0.15">
      <c r="A39" s="478">
        <f t="shared" si="1"/>
        <v>39</v>
      </c>
      <c r="B39" s="480" t="str">
        <f t="shared" si="0"/>
        <v>Netto kosten inkoop &amp; aanleg oplaadsysteem</v>
      </c>
      <c r="C39" s="480" t="s">
        <v>44</v>
      </c>
      <c r="D39" s="480" t="s">
        <v>716</v>
      </c>
    </row>
    <row r="40" spans="1:11" x14ac:dyDescent="0.15">
      <c r="A40" s="478">
        <f t="shared" si="1"/>
        <v>40</v>
      </c>
      <c r="B40" s="480" t="str">
        <f t="shared" si="0"/>
        <v>INKOOPPRIJS ENERGIE</v>
      </c>
      <c r="C40" s="480" t="s">
        <v>48</v>
      </c>
      <c r="D40" s="480" t="s">
        <v>717</v>
      </c>
    </row>
    <row r="41" spans="1:11" x14ac:dyDescent="0.15">
      <c r="A41" s="478">
        <f t="shared" si="1"/>
        <v>41</v>
      </c>
      <c r="B41" s="480" t="str">
        <f t="shared" si="0"/>
        <v xml:space="preserve">Basisprijs energie </v>
      </c>
      <c r="C41" s="480" t="s">
        <v>54</v>
      </c>
      <c r="D41" s="480" t="s">
        <v>718</v>
      </c>
    </row>
    <row r="42" spans="1:11" x14ac:dyDescent="0.15">
      <c r="A42" s="478">
        <f t="shared" si="1"/>
        <v>42</v>
      </c>
      <c r="B42" s="480" t="str">
        <f t="shared" si="0"/>
        <v>Energiesubsidie</v>
      </c>
      <c r="C42" s="480" t="s">
        <v>56</v>
      </c>
      <c r="D42" s="480" t="s">
        <v>719</v>
      </c>
    </row>
    <row r="43" spans="1:11" x14ac:dyDescent="0.15">
      <c r="A43" s="478">
        <f t="shared" si="1"/>
        <v>43</v>
      </c>
      <c r="B43" s="480" t="str">
        <f t="shared" si="0"/>
        <v>Kale brandstofprijs</v>
      </c>
      <c r="C43" s="480" t="s">
        <v>348</v>
      </c>
      <c r="D43" s="480" t="s">
        <v>720</v>
      </c>
    </row>
    <row r="44" spans="1:11" x14ac:dyDescent="0.15">
      <c r="A44" s="478">
        <f t="shared" si="1"/>
        <v>44</v>
      </c>
      <c r="B44" s="480" t="str">
        <f t="shared" si="0"/>
        <v>Dieselaccijns</v>
      </c>
      <c r="C44" s="480" t="s">
        <v>346</v>
      </c>
      <c r="D44" s="480" t="s">
        <v>881</v>
      </c>
    </row>
    <row r="45" spans="1:11" x14ac:dyDescent="0.15">
      <c r="A45" s="478">
        <f t="shared" si="1"/>
        <v>45</v>
      </c>
      <c r="B45" s="480" t="str">
        <f t="shared" si="0"/>
        <v>Totale brandstofprijs</v>
      </c>
      <c r="C45" s="480" t="s">
        <v>347</v>
      </c>
      <c r="D45" s="480" t="s">
        <v>882</v>
      </c>
    </row>
    <row r="46" spans="1:11" x14ac:dyDescent="0.15">
      <c r="A46" s="478">
        <f t="shared" si="1"/>
        <v>46</v>
      </c>
      <c r="B46" s="480" t="str">
        <f t="shared" si="0"/>
        <v>Meerprijs tolheffing</v>
      </c>
      <c r="C46" s="480" t="s">
        <v>431</v>
      </c>
      <c r="D46" s="480" t="s">
        <v>721</v>
      </c>
    </row>
    <row r="47" spans="1:11" x14ac:dyDescent="0.15">
      <c r="A47" s="478">
        <f t="shared" si="1"/>
        <v>47</v>
      </c>
      <c r="B47" s="480" t="str">
        <f t="shared" si="0"/>
        <v>Aandeel snelweg kilometers</v>
      </c>
      <c r="C47" s="480" t="s">
        <v>41</v>
      </c>
      <c r="D47" s="480" t="s">
        <v>722</v>
      </c>
    </row>
    <row r="48" spans="1:11" x14ac:dyDescent="0.15">
      <c r="A48" s="478">
        <f t="shared" si="1"/>
        <v>48</v>
      </c>
      <c r="B48" s="480" t="str">
        <f t="shared" si="0"/>
        <v>Vaste ZE-Voertuigheffing</v>
      </c>
      <c r="C48" s="480" t="s">
        <v>43</v>
      </c>
      <c r="D48" s="480" t="s">
        <v>723</v>
      </c>
    </row>
    <row r="49" spans="1:4" x14ac:dyDescent="0.15">
      <c r="A49" s="478">
        <f t="shared" si="1"/>
        <v>49</v>
      </c>
      <c r="B49" s="480" t="str">
        <f t="shared" si="0"/>
        <v>CO2 prijs</v>
      </c>
      <c r="C49" s="480" t="s">
        <v>45</v>
      </c>
      <c r="D49" s="480" t="s">
        <v>724</v>
      </c>
    </row>
    <row r="50" spans="1:4" x14ac:dyDescent="0.15">
      <c r="A50" s="478">
        <f t="shared" si="1"/>
        <v>50</v>
      </c>
      <c r="B50" s="480" t="str">
        <f t="shared" si="0"/>
        <v>HBE Toepassen (J/N)</v>
      </c>
      <c r="C50" s="480" t="s">
        <v>52</v>
      </c>
      <c r="D50" s="480" t="s">
        <v>883</v>
      </c>
    </row>
    <row r="51" spans="1:4" x14ac:dyDescent="0.15">
      <c r="A51" s="478">
        <f t="shared" si="1"/>
        <v>51</v>
      </c>
      <c r="B51" s="480" t="str">
        <f t="shared" si="0"/>
        <v>Aantal HBE's</v>
      </c>
      <c r="C51" s="480" t="s">
        <v>55</v>
      </c>
      <c r="D51" s="480" t="s">
        <v>725</v>
      </c>
    </row>
    <row r="52" spans="1:4" x14ac:dyDescent="0.15">
      <c r="A52" s="478">
        <f t="shared" si="1"/>
        <v>52</v>
      </c>
      <c r="B52" s="480" t="str">
        <f t="shared" si="0"/>
        <v>Forfait</v>
      </c>
      <c r="C52" s="480" t="s">
        <v>57</v>
      </c>
      <c r="D52" s="480" t="s">
        <v>726</v>
      </c>
    </row>
    <row r="53" spans="1:4" x14ac:dyDescent="0.15">
      <c r="A53" s="478">
        <f t="shared" si="1"/>
        <v>53</v>
      </c>
      <c r="B53" s="480" t="str">
        <f t="shared" si="0"/>
        <v>Waarde per HBE</v>
      </c>
      <c r="C53" s="480" t="s">
        <v>59</v>
      </c>
      <c r="D53" s="480" t="s">
        <v>727</v>
      </c>
    </row>
    <row r="54" spans="1:4" x14ac:dyDescent="0.15">
      <c r="A54" s="478">
        <f t="shared" si="1"/>
        <v>54</v>
      </c>
      <c r="B54" s="480" t="str">
        <f t="shared" si="0"/>
        <v>Totale waarde HBE's</v>
      </c>
      <c r="C54" s="480" t="s">
        <v>60</v>
      </c>
      <c r="D54" s="480" t="s">
        <v>728</v>
      </c>
    </row>
    <row r="55" spans="1:4" x14ac:dyDescent="0.15">
      <c r="A55" s="478">
        <f t="shared" si="1"/>
        <v>55</v>
      </c>
      <c r="B55" s="480" t="str">
        <f t="shared" si="0"/>
        <v>subsidie toepassen (J/N)</v>
      </c>
      <c r="C55" s="480" t="s">
        <v>36</v>
      </c>
      <c r="D55" s="480" t="s">
        <v>729</v>
      </c>
    </row>
    <row r="56" spans="1:4" x14ac:dyDescent="0.15">
      <c r="A56" s="478">
        <f t="shared" si="1"/>
        <v>56</v>
      </c>
      <c r="B56" s="480" t="str">
        <f t="shared" si="0"/>
        <v>Elektriciteit: euro/kWh</v>
      </c>
      <c r="C56" s="480" t="s">
        <v>732</v>
      </c>
      <c r="D56" s="480" t="s">
        <v>733</v>
      </c>
    </row>
    <row r="57" spans="1:4" x14ac:dyDescent="0.15">
      <c r="A57" s="478">
        <f t="shared" si="1"/>
        <v>57</v>
      </c>
      <c r="B57" s="480" t="str">
        <f t="shared" si="0"/>
        <v>Waterstof: euro/kg</v>
      </c>
      <c r="C57" s="480" t="s">
        <v>50</v>
      </c>
      <c r="D57" s="480" t="s">
        <v>730</v>
      </c>
    </row>
    <row r="58" spans="1:4" x14ac:dyDescent="0.15">
      <c r="A58" s="478">
        <f t="shared" si="1"/>
        <v>58</v>
      </c>
      <c r="B58" s="480" t="str">
        <f t="shared" si="0"/>
        <v>Dieselprijs: euro/l</v>
      </c>
      <c r="C58" s="480" t="s">
        <v>51</v>
      </c>
      <c r="D58" s="480" t="s">
        <v>731</v>
      </c>
    </row>
    <row r="59" spans="1:4" x14ac:dyDescent="0.15">
      <c r="A59" s="478">
        <f t="shared" si="1"/>
        <v>59</v>
      </c>
      <c r="B59" s="480" t="str">
        <f t="shared" si="0"/>
        <v>Dieselvoertuigbelastingen</v>
      </c>
      <c r="C59" s="480" t="s">
        <v>39</v>
      </c>
      <c r="D59" s="480" t="s">
        <v>734</v>
      </c>
    </row>
    <row r="60" spans="1:4" x14ac:dyDescent="0.15">
      <c r="A60" s="478">
        <f t="shared" si="1"/>
        <v>60</v>
      </c>
      <c r="B60" s="480" t="str">
        <f t="shared" si="0"/>
        <v>Meenemen</v>
      </c>
      <c r="C60" s="480" t="s">
        <v>381</v>
      </c>
      <c r="D60" s="480" t="s">
        <v>735</v>
      </c>
    </row>
    <row r="61" spans="1:4" x14ac:dyDescent="0.15">
      <c r="A61" s="478">
        <f t="shared" si="1"/>
        <v>61</v>
      </c>
      <c r="B61" s="480" t="str">
        <f t="shared" si="0"/>
        <v>€/jaar</v>
      </c>
      <c r="C61" s="480" t="s">
        <v>685</v>
      </c>
      <c r="D61" s="480" t="s">
        <v>736</v>
      </c>
    </row>
    <row r="62" spans="1:4" x14ac:dyDescent="0.15">
      <c r="A62" s="478">
        <f t="shared" si="1"/>
        <v>62</v>
      </c>
      <c r="B62" s="480" t="str">
        <f t="shared" si="0"/>
        <v>Hernieuwbare Brandstof-Eenheden (HBE's)</v>
      </c>
      <c r="C62" s="480" t="s">
        <v>46</v>
      </c>
      <c r="D62" s="480" t="s">
        <v>737</v>
      </c>
    </row>
    <row r="63" spans="1:4" x14ac:dyDescent="0.15">
      <c r="A63" s="478">
        <f t="shared" si="1"/>
        <v>63</v>
      </c>
      <c r="B63" s="480" t="str">
        <f t="shared" si="0"/>
        <v>RESULTATEN</v>
      </c>
      <c r="C63" s="480" t="s">
        <v>61</v>
      </c>
      <c r="D63" s="480" t="s">
        <v>738</v>
      </c>
    </row>
    <row r="64" spans="1:4" x14ac:dyDescent="0.15">
      <c r="A64" s="478">
        <f t="shared" si="1"/>
        <v>64</v>
      </c>
      <c r="B64" s="480" t="str">
        <f t="shared" si="0"/>
        <v>Scenario</v>
      </c>
      <c r="C64" s="480" t="s">
        <v>62</v>
      </c>
      <c r="D64" s="480" t="s">
        <v>62</v>
      </c>
    </row>
    <row r="65" spans="1:4" ht="21" x14ac:dyDescent="0.15">
      <c r="A65" s="478">
        <f t="shared" si="1"/>
        <v>65</v>
      </c>
      <c r="B65" s="480" t="str">
        <f t="shared" si="0"/>
        <v>Scenario technisch mogelijk (valide)/niet mogelijk</v>
      </c>
      <c r="C65" s="480" t="s">
        <v>65</v>
      </c>
      <c r="D65" s="480" t="s">
        <v>739</v>
      </c>
    </row>
    <row r="66" spans="1:4" x14ac:dyDescent="0.15">
      <c r="A66" s="478">
        <f t="shared" si="1"/>
        <v>66</v>
      </c>
      <c r="B66" s="480" t="str">
        <f t="shared" ref="B66:B129" si="2">+HLOOKUP($B$1,$C$1:$D$505,$A66,0)</f>
        <v>Eigen oplaadsysteem</v>
      </c>
      <c r="C66" s="480" t="s">
        <v>66</v>
      </c>
      <c r="D66" s="480" t="s">
        <v>740</v>
      </c>
    </row>
    <row r="67" spans="1:4" x14ac:dyDescent="0.15">
      <c r="A67" s="478">
        <f t="shared" ref="A67:A130" si="3">+A66+1</f>
        <v>67</v>
      </c>
      <c r="B67" s="480" t="str">
        <f t="shared" si="2"/>
        <v>Openbaar oplaadsysteem</v>
      </c>
      <c r="C67" s="480" t="s">
        <v>68</v>
      </c>
      <c r="D67" s="480" t="s">
        <v>741</v>
      </c>
    </row>
    <row r="68" spans="1:4" x14ac:dyDescent="0.15">
      <c r="A68" s="478">
        <f t="shared" si="3"/>
        <v>68</v>
      </c>
      <c r="B68" s="480" t="str">
        <f t="shared" si="2"/>
        <v>Percentage eigen oplaadsysteem</v>
      </c>
      <c r="C68" s="480" t="s">
        <v>69</v>
      </c>
      <c r="D68" s="480" t="s">
        <v>742</v>
      </c>
    </row>
    <row r="69" spans="1:4" ht="21" x14ac:dyDescent="0.15">
      <c r="A69" s="478">
        <f t="shared" si="3"/>
        <v>69</v>
      </c>
      <c r="B69" s="480" t="str">
        <f t="shared" si="2"/>
        <v>Percentage extern (openbaar) oplaadsysteem</v>
      </c>
      <c r="C69" s="480" t="s">
        <v>70</v>
      </c>
      <c r="D69" s="480" t="s">
        <v>743</v>
      </c>
    </row>
    <row r="70" spans="1:4" x14ac:dyDescent="0.15">
      <c r="A70" s="478">
        <f t="shared" si="3"/>
        <v>70</v>
      </c>
      <c r="B70" s="480" t="str">
        <f t="shared" si="2"/>
        <v>Totale kosten per jaar</v>
      </c>
      <c r="C70" s="480" t="s">
        <v>71</v>
      </c>
      <c r="D70" s="480" t="s">
        <v>744</v>
      </c>
    </row>
    <row r="71" spans="1:4" x14ac:dyDescent="0.15">
      <c r="A71" s="478">
        <f t="shared" si="3"/>
        <v>71</v>
      </c>
      <c r="B71" s="480" t="str">
        <f t="shared" si="2"/>
        <v>Totale kosten per km</v>
      </c>
      <c r="C71" s="480" t="s">
        <v>72</v>
      </c>
      <c r="D71" s="480" t="s">
        <v>745</v>
      </c>
    </row>
    <row r="72" spans="1:4" x14ac:dyDescent="0.15">
      <c r="A72" s="478">
        <f t="shared" si="3"/>
        <v>72</v>
      </c>
      <c r="B72" s="480" t="str">
        <f t="shared" si="2"/>
        <v>Totale kosten per uur</v>
      </c>
      <c r="C72" s="480" t="s">
        <v>73</v>
      </c>
      <c r="D72" s="480" t="s">
        <v>746</v>
      </c>
    </row>
    <row r="73" spans="1:4" ht="21" x14ac:dyDescent="0.15">
      <c r="A73" s="478">
        <f t="shared" si="3"/>
        <v>73</v>
      </c>
      <c r="B73" s="480" t="str">
        <f t="shared" si="2"/>
        <v>Emissies (totaal per jaar voor het geselecteerde voertuig)</v>
      </c>
      <c r="C73" s="480" t="s">
        <v>74</v>
      </c>
      <c r="D73" s="480" t="s">
        <v>747</v>
      </c>
    </row>
    <row r="74" spans="1:4" x14ac:dyDescent="0.15">
      <c r="A74" s="478">
        <f t="shared" si="3"/>
        <v>74</v>
      </c>
      <c r="B74" s="480" t="str">
        <f t="shared" si="2"/>
        <v>CO2 emissies (ton per jaar, WtW)</v>
      </c>
      <c r="C74" s="480" t="s">
        <v>75</v>
      </c>
      <c r="D74" s="480" t="s">
        <v>748</v>
      </c>
    </row>
    <row r="75" spans="1:4" x14ac:dyDescent="0.15">
      <c r="A75" s="478">
        <f t="shared" si="3"/>
        <v>75</v>
      </c>
      <c r="B75" s="480" t="str">
        <f t="shared" si="2"/>
        <v>PM totaal (kg per jaar, TtW)</v>
      </c>
      <c r="C75" s="480" t="s">
        <v>76</v>
      </c>
      <c r="D75" s="480" t="s">
        <v>749</v>
      </c>
    </row>
    <row r="76" spans="1:4" x14ac:dyDescent="0.15">
      <c r="A76" s="478">
        <f t="shared" si="3"/>
        <v>76</v>
      </c>
      <c r="B76" s="480" t="str">
        <f t="shared" si="2"/>
        <v>NOx (kg per jaar, TtW)</v>
      </c>
      <c r="C76" s="480" t="s">
        <v>77</v>
      </c>
      <c r="D76" s="480" t="s">
        <v>750</v>
      </c>
    </row>
    <row r="77" spans="1:4" x14ac:dyDescent="0.15">
      <c r="A77" s="478">
        <f t="shared" si="3"/>
        <v>77</v>
      </c>
      <c r="B77" s="480" t="str">
        <f t="shared" si="2"/>
        <v>ONDERBOUWING KOSTENBEREKENING</v>
      </c>
      <c r="C77" s="480" t="s">
        <v>78</v>
      </c>
      <c r="D77" s="480" t="s">
        <v>751</v>
      </c>
    </row>
    <row r="78" spans="1:4" x14ac:dyDescent="0.15">
      <c r="A78" s="478">
        <f t="shared" si="3"/>
        <v>78</v>
      </c>
      <c r="B78" s="480" t="str">
        <f t="shared" si="2"/>
        <v>Vaste kosten per jaar</v>
      </c>
      <c r="C78" s="480" t="s">
        <v>79</v>
      </c>
      <c r="D78" s="480" t="s">
        <v>752</v>
      </c>
    </row>
    <row r="79" spans="1:4" x14ac:dyDescent="0.15">
      <c r="A79" s="478">
        <f t="shared" si="3"/>
        <v>79</v>
      </c>
      <c r="B79" s="480" t="str">
        <f t="shared" si="2"/>
        <v>Wegenbelasting</v>
      </c>
      <c r="C79" s="480" t="s">
        <v>80</v>
      </c>
      <c r="D79" s="480" t="s">
        <v>173</v>
      </c>
    </row>
    <row r="80" spans="1:4" x14ac:dyDescent="0.15">
      <c r="A80" s="478">
        <f t="shared" si="3"/>
        <v>80</v>
      </c>
      <c r="B80" s="480" t="str">
        <f t="shared" si="2"/>
        <v>Eurovignet</v>
      </c>
      <c r="C80" s="480" t="s">
        <v>81</v>
      </c>
      <c r="D80" s="480" t="s">
        <v>753</v>
      </c>
    </row>
    <row r="81" spans="1:4" x14ac:dyDescent="0.15">
      <c r="A81" s="478">
        <f t="shared" si="3"/>
        <v>81</v>
      </c>
      <c r="B81" s="480" t="str">
        <f t="shared" si="2"/>
        <v>Rente</v>
      </c>
      <c r="C81" s="480" t="s">
        <v>82</v>
      </c>
      <c r="D81" s="480" t="s">
        <v>754</v>
      </c>
    </row>
    <row r="82" spans="1:4" x14ac:dyDescent="0.15">
      <c r="A82" s="478">
        <f t="shared" si="3"/>
        <v>82</v>
      </c>
      <c r="B82" s="480" t="str">
        <f t="shared" si="2"/>
        <v>Verzekering</v>
      </c>
      <c r="C82" s="480" t="s">
        <v>83</v>
      </c>
      <c r="D82" s="480" t="s">
        <v>755</v>
      </c>
    </row>
    <row r="83" spans="1:4" x14ac:dyDescent="0.15">
      <c r="A83" s="478">
        <f t="shared" si="3"/>
        <v>83</v>
      </c>
      <c r="B83" s="480" t="str">
        <f t="shared" si="2"/>
        <v>Voertuigheffing</v>
      </c>
      <c r="C83" s="480" t="s">
        <v>84</v>
      </c>
      <c r="D83" s="480" t="s">
        <v>756</v>
      </c>
    </row>
    <row r="84" spans="1:4" x14ac:dyDescent="0.15">
      <c r="A84" s="478">
        <f t="shared" si="3"/>
        <v>84</v>
      </c>
      <c r="B84" s="480" t="str">
        <f t="shared" si="2"/>
        <v>Diverse overige voertuigkosten</v>
      </c>
      <c r="C84" s="480" t="s">
        <v>85</v>
      </c>
      <c r="D84" s="480" t="s">
        <v>757</v>
      </c>
    </row>
    <row r="85" spans="1:4" x14ac:dyDescent="0.15">
      <c r="A85" s="478">
        <f t="shared" si="3"/>
        <v>85</v>
      </c>
      <c r="B85" s="480" t="str">
        <f t="shared" si="2"/>
        <v>a: Totale vaste voertuigkosten per jaar</v>
      </c>
      <c r="C85" s="480" t="s">
        <v>86</v>
      </c>
      <c r="D85" s="480" t="s">
        <v>758</v>
      </c>
    </row>
    <row r="86" spans="1:4" x14ac:dyDescent="0.15">
      <c r="A86" s="478">
        <f t="shared" si="3"/>
        <v>86</v>
      </c>
      <c r="B86" s="480" t="str">
        <f t="shared" si="2"/>
        <v>Fixed transport costs</v>
      </c>
      <c r="C86" s="480" t="s">
        <v>87</v>
      </c>
      <c r="D86" s="480" t="s">
        <v>87</v>
      </c>
    </row>
    <row r="87" spans="1:4" x14ac:dyDescent="0.15">
      <c r="A87" s="478">
        <f t="shared" si="3"/>
        <v>87</v>
      </c>
      <c r="B87" s="480" t="str">
        <f t="shared" si="2"/>
        <v>Variabele kosten per jaar</v>
      </c>
      <c r="C87" s="480" t="s">
        <v>88</v>
      </c>
      <c r="D87" s="480" t="s">
        <v>759</v>
      </c>
    </row>
    <row r="88" spans="1:4" x14ac:dyDescent="0.15">
      <c r="A88" s="478">
        <f t="shared" si="3"/>
        <v>88</v>
      </c>
      <c r="B88" s="480" t="str">
        <f t="shared" si="2"/>
        <v>Afschrijving voertuig</v>
      </c>
      <c r="C88" s="480" t="s">
        <v>89</v>
      </c>
      <c r="D88" s="480" t="s">
        <v>760</v>
      </c>
    </row>
    <row r="89" spans="1:4" x14ac:dyDescent="0.15">
      <c r="A89" s="478">
        <f t="shared" si="3"/>
        <v>89</v>
      </c>
      <c r="B89" s="480" t="str">
        <f t="shared" si="2"/>
        <v>Brandstofverbruik voertuig</v>
      </c>
      <c r="C89" s="480" t="s">
        <v>90</v>
      </c>
      <c r="D89" s="480" t="s">
        <v>761</v>
      </c>
    </row>
    <row r="90" spans="1:4" x14ac:dyDescent="0.15">
      <c r="A90" s="478">
        <f t="shared" si="3"/>
        <v>90</v>
      </c>
      <c r="B90" s="480" t="str">
        <f t="shared" si="2"/>
        <v>Brandstofverbruik koeling</v>
      </c>
      <c r="C90" s="480" t="s">
        <v>91</v>
      </c>
      <c r="D90" s="480" t="s">
        <v>762</v>
      </c>
    </row>
    <row r="91" spans="1:4" x14ac:dyDescent="0.15">
      <c r="A91" s="478">
        <f t="shared" si="3"/>
        <v>91</v>
      </c>
      <c r="B91" s="480" t="str">
        <f t="shared" si="2"/>
        <v>Elektriciteitsverbruik</v>
      </c>
      <c r="C91" s="480" t="s">
        <v>92</v>
      </c>
      <c r="D91" s="480" t="s">
        <v>763</v>
      </c>
    </row>
    <row r="92" spans="1:4" x14ac:dyDescent="0.15">
      <c r="A92" s="478">
        <f t="shared" si="3"/>
        <v>92</v>
      </c>
      <c r="B92" s="480" t="str">
        <f t="shared" si="2"/>
        <v>H2 verbruik</v>
      </c>
      <c r="C92" s="480" t="s">
        <v>93</v>
      </c>
      <c r="D92" s="480" t="s">
        <v>764</v>
      </c>
    </row>
    <row r="93" spans="1:4" x14ac:dyDescent="0.15">
      <c r="A93" s="478">
        <f t="shared" si="3"/>
        <v>93</v>
      </c>
      <c r="B93" s="480" t="str">
        <f t="shared" si="2"/>
        <v>Adblue verbruik</v>
      </c>
      <c r="C93" s="480" t="s">
        <v>94</v>
      </c>
      <c r="D93" s="480" t="s">
        <v>765</v>
      </c>
    </row>
    <row r="94" spans="1:4" x14ac:dyDescent="0.15">
      <c r="A94" s="478">
        <f t="shared" si="3"/>
        <v>94</v>
      </c>
      <c r="B94" s="480" t="str">
        <f t="shared" si="2"/>
        <v>Banden</v>
      </c>
      <c r="C94" s="480" t="s">
        <v>95</v>
      </c>
      <c r="D94" s="480" t="s">
        <v>766</v>
      </c>
    </row>
    <row r="95" spans="1:4" x14ac:dyDescent="0.15">
      <c r="A95" s="478">
        <f t="shared" si="3"/>
        <v>95</v>
      </c>
      <c r="B95" s="480" t="str">
        <f t="shared" si="2"/>
        <v>Onderhoud</v>
      </c>
      <c r="C95" s="480" t="s">
        <v>96</v>
      </c>
      <c r="D95" s="480" t="s">
        <v>558</v>
      </c>
    </row>
    <row r="96" spans="1:4" x14ac:dyDescent="0.15">
      <c r="A96" s="478">
        <f t="shared" si="3"/>
        <v>96</v>
      </c>
      <c r="B96" s="480" t="str">
        <f t="shared" si="2"/>
        <v>Reparatie</v>
      </c>
      <c r="C96" s="480" t="s">
        <v>97</v>
      </c>
      <c r="D96" s="480" t="s">
        <v>767</v>
      </c>
    </row>
    <row r="97" spans="1:4" x14ac:dyDescent="0.15">
      <c r="A97" s="478">
        <f t="shared" si="3"/>
        <v>97</v>
      </c>
      <c r="B97" s="480" t="str">
        <f t="shared" si="2"/>
        <v>Reparatie/onderhoud koelunit</v>
      </c>
      <c r="C97" s="480" t="s">
        <v>98</v>
      </c>
      <c r="D97" s="480" t="s">
        <v>768</v>
      </c>
    </row>
    <row r="98" spans="1:4" x14ac:dyDescent="0.15">
      <c r="A98" s="478">
        <f t="shared" si="3"/>
        <v>98</v>
      </c>
      <c r="B98" s="480" t="str">
        <f t="shared" si="2"/>
        <v>Verschil Tolheffing (km-tarief)</v>
      </c>
      <c r="C98" s="480" t="s">
        <v>99</v>
      </c>
      <c r="D98" s="480" t="s">
        <v>769</v>
      </c>
    </row>
    <row r="99" spans="1:4" x14ac:dyDescent="0.15">
      <c r="A99" s="478">
        <f t="shared" si="3"/>
        <v>99</v>
      </c>
      <c r="B99" s="480" t="str">
        <f t="shared" si="2"/>
        <v>Hernieuwbare Brandstof-Eenheden</v>
      </c>
      <c r="C99" s="480" t="s">
        <v>101</v>
      </c>
      <c r="D99" s="480" t="s">
        <v>770</v>
      </c>
    </row>
    <row r="100" spans="1:4" x14ac:dyDescent="0.15">
      <c r="A100" s="478">
        <f t="shared" si="3"/>
        <v>100</v>
      </c>
      <c r="B100" s="480" t="str">
        <f t="shared" si="2"/>
        <v xml:space="preserve">Specifieke vervoerskosten </v>
      </c>
      <c r="C100" s="480" t="s">
        <v>102</v>
      </c>
      <c r="D100" s="480" t="s">
        <v>771</v>
      </c>
    </row>
    <row r="101" spans="1:4" x14ac:dyDescent="0.15">
      <c r="A101" s="478">
        <f t="shared" si="3"/>
        <v>101</v>
      </c>
      <c r="B101" s="480" t="str">
        <f t="shared" si="2"/>
        <v>b: Totale variabele voertuigkosten per jaar</v>
      </c>
      <c r="C101" s="480" t="s">
        <v>103</v>
      </c>
      <c r="D101" s="480" t="s">
        <v>772</v>
      </c>
    </row>
    <row r="102" spans="1:4" x14ac:dyDescent="0.15">
      <c r="A102" s="478">
        <f t="shared" si="3"/>
        <v>102</v>
      </c>
      <c r="B102" s="480" t="str">
        <f t="shared" si="2"/>
        <v>Repair, maintenance &amp; tires</v>
      </c>
      <c r="C102" s="480" t="s">
        <v>104</v>
      </c>
      <c r="D102" s="480" t="s">
        <v>104</v>
      </c>
    </row>
    <row r="103" spans="1:4" x14ac:dyDescent="0.15">
      <c r="A103" s="478">
        <f t="shared" si="3"/>
        <v>103</v>
      </c>
      <c r="B103" s="480" t="str">
        <f t="shared" si="2"/>
        <v>Kosten oplaadsysteem per jaar</v>
      </c>
      <c r="C103" s="480" t="s">
        <v>105</v>
      </c>
      <c r="D103" s="480" t="s">
        <v>773</v>
      </c>
    </row>
    <row r="104" spans="1:4" x14ac:dyDescent="0.15">
      <c r="A104" s="478">
        <f t="shared" si="3"/>
        <v>104</v>
      </c>
      <c r="B104" s="480" t="str">
        <f t="shared" si="2"/>
        <v>Aankoop en installatie</v>
      </c>
      <c r="C104" s="480" t="s">
        <v>106</v>
      </c>
      <c r="D104" s="480" t="s">
        <v>774</v>
      </c>
    </row>
    <row r="105" spans="1:4" x14ac:dyDescent="0.15">
      <c r="A105" s="478">
        <f t="shared" si="3"/>
        <v>105</v>
      </c>
      <c r="B105" s="480" t="str">
        <f t="shared" si="2"/>
        <v>Operationele kosten</v>
      </c>
      <c r="C105" s="480" t="s">
        <v>107</v>
      </c>
      <c r="D105" s="480" t="s">
        <v>775</v>
      </c>
    </row>
    <row r="106" spans="1:4" x14ac:dyDescent="0.15">
      <c r="A106" s="478">
        <f t="shared" si="3"/>
        <v>106</v>
      </c>
      <c r="B106" s="480" t="str">
        <f t="shared" si="2"/>
        <v>c: Totale kosten oplaadsysteem per jaar</v>
      </c>
      <c r="C106" s="480" t="s">
        <v>108</v>
      </c>
      <c r="D106" s="480" t="s">
        <v>776</v>
      </c>
    </row>
    <row r="107" spans="1:4" ht="21" x14ac:dyDescent="0.15">
      <c r="A107" s="478">
        <f t="shared" si="3"/>
        <v>107</v>
      </c>
      <c r="B107" s="480" t="str">
        <f t="shared" si="2"/>
        <v xml:space="preserve">Totale voertuig en oplaadsysteemkosten per jaar (a+b+c) </v>
      </c>
      <c r="C107" s="480" t="s">
        <v>109</v>
      </c>
      <c r="D107" s="480" t="s">
        <v>777</v>
      </c>
    </row>
    <row r="108" spans="1:4" ht="21" x14ac:dyDescent="0.15">
      <c r="A108" s="478">
        <f t="shared" si="3"/>
        <v>108</v>
      </c>
      <c r="B108" s="480" t="str">
        <f t="shared" si="2"/>
        <v>Totale voertuig en oplaadsysteemkosten per km: (a+b+c)/kms per jaar</v>
      </c>
      <c r="C108" s="480" t="s">
        <v>110</v>
      </c>
      <c r="D108" s="480" t="s">
        <v>778</v>
      </c>
    </row>
    <row r="109" spans="1:4" ht="21" x14ac:dyDescent="0.15">
      <c r="A109" s="478">
        <f t="shared" si="3"/>
        <v>109</v>
      </c>
      <c r="B109" s="480" t="str">
        <f t="shared" si="2"/>
        <v>Totale voertuig en oplaadsysteemkosten per uur (a+b+c)/uren per jaar</v>
      </c>
      <c r="C109" s="480" t="s">
        <v>111</v>
      </c>
      <c r="D109" s="480" t="s">
        <v>779</v>
      </c>
    </row>
    <row r="110" spans="1:4" x14ac:dyDescent="0.15">
      <c r="A110" s="478">
        <f t="shared" si="3"/>
        <v>110</v>
      </c>
      <c r="B110" s="480" t="str">
        <f t="shared" si="2"/>
        <v>Chauffeurskosten</v>
      </c>
      <c r="C110" s="480" t="s">
        <v>112</v>
      </c>
      <c r="D110" s="480" t="s">
        <v>780</v>
      </c>
    </row>
    <row r="111" spans="1:4" x14ac:dyDescent="0.15">
      <c r="A111" s="478">
        <f t="shared" si="3"/>
        <v>111</v>
      </c>
      <c r="B111" s="480" t="str">
        <f t="shared" si="2"/>
        <v>Uurloon incl. sociale lasten</v>
      </c>
      <c r="C111" s="480" t="s">
        <v>113</v>
      </c>
      <c r="D111" s="480" t="s">
        <v>781</v>
      </c>
    </row>
    <row r="112" spans="1:4" x14ac:dyDescent="0.15">
      <c r="A112" s="478">
        <f t="shared" si="3"/>
        <v>112</v>
      </c>
      <c r="B112" s="480" t="str">
        <f t="shared" si="2"/>
        <v>Verblijfkostenvergoeding</v>
      </c>
      <c r="C112" s="480" t="s">
        <v>114</v>
      </c>
      <c r="D112" s="480" t="s">
        <v>782</v>
      </c>
    </row>
    <row r="113" spans="1:4" x14ac:dyDescent="0.15">
      <c r="A113" s="478">
        <f t="shared" si="3"/>
        <v>113</v>
      </c>
      <c r="B113" s="480" t="str">
        <f t="shared" si="2"/>
        <v>Overige kosten</v>
      </c>
      <c r="C113" s="480" t="s">
        <v>115</v>
      </c>
      <c r="D113" s="480" t="s">
        <v>783</v>
      </c>
    </row>
    <row r="114" spans="1:4" x14ac:dyDescent="0.15">
      <c r="A114" s="478">
        <f t="shared" si="3"/>
        <v>114</v>
      </c>
      <c r="B114" s="480" t="str">
        <f t="shared" si="2"/>
        <v>d: Totale chauffeurskosten per jaar</v>
      </c>
      <c r="C114" s="480" t="s">
        <v>116</v>
      </c>
      <c r="D114" s="480" t="s">
        <v>784</v>
      </c>
    </row>
    <row r="115" spans="1:4" x14ac:dyDescent="0.15">
      <c r="A115" s="478">
        <f t="shared" si="3"/>
        <v>115</v>
      </c>
      <c r="B115" s="480" t="str">
        <f t="shared" si="2"/>
        <v>Totale directe kosten per jaar (a+b+c+d)</v>
      </c>
      <c r="C115" s="480" t="s">
        <v>117</v>
      </c>
      <c r="D115" s="480" t="s">
        <v>785</v>
      </c>
    </row>
    <row r="116" spans="1:4" ht="21" x14ac:dyDescent="0.15">
      <c r="A116" s="478">
        <f t="shared" si="3"/>
        <v>116</v>
      </c>
      <c r="B116" s="480" t="str">
        <f t="shared" si="2"/>
        <v>Totale directe kosten per km: (a+b+c+d)/kms per jaar</v>
      </c>
      <c r="C116" s="480" t="s">
        <v>118</v>
      </c>
      <c r="D116" s="480" t="s">
        <v>786</v>
      </c>
    </row>
    <row r="117" spans="1:4" ht="21" x14ac:dyDescent="0.15">
      <c r="A117" s="478">
        <f t="shared" si="3"/>
        <v>117</v>
      </c>
      <c r="B117" s="480" t="str">
        <f t="shared" si="2"/>
        <v>Totale directe kosten per uur (a+b+c+d)/uren per jaar</v>
      </c>
      <c r="C117" s="480" t="s">
        <v>119</v>
      </c>
      <c r="D117" s="480" t="s">
        <v>787</v>
      </c>
    </row>
    <row r="118" spans="1:4" x14ac:dyDescent="0.15">
      <c r="A118" s="478">
        <f t="shared" si="3"/>
        <v>118</v>
      </c>
      <c r="B118" s="480" t="str">
        <f t="shared" si="2"/>
        <v>Algemene kosten (overhead)</v>
      </c>
      <c r="C118" s="480" t="s">
        <v>120</v>
      </c>
      <c r="D118" s="480" t="s">
        <v>788</v>
      </c>
    </row>
    <row r="119" spans="1:4" x14ac:dyDescent="0.15">
      <c r="A119" s="478">
        <f t="shared" si="3"/>
        <v>119</v>
      </c>
      <c r="B119" s="480" t="str">
        <f t="shared" si="2"/>
        <v>Loon incl. sociale lasten</v>
      </c>
      <c r="C119" s="480" t="s">
        <v>121</v>
      </c>
      <c r="D119" s="480" t="s">
        <v>789</v>
      </c>
    </row>
    <row r="120" spans="1:4" x14ac:dyDescent="0.15">
      <c r="A120" s="478">
        <f t="shared" si="3"/>
        <v>120</v>
      </c>
      <c r="B120" s="480" t="str">
        <f t="shared" si="2"/>
        <v>Huisvesting</v>
      </c>
      <c r="C120" s="480" t="s">
        <v>122</v>
      </c>
      <c r="D120" s="480" t="s">
        <v>790</v>
      </c>
    </row>
    <row r="121" spans="1:4" x14ac:dyDescent="0.15">
      <c r="A121" s="478">
        <f t="shared" si="3"/>
        <v>121</v>
      </c>
      <c r="B121" s="480" t="str">
        <f t="shared" si="2"/>
        <v>Overig</v>
      </c>
      <c r="C121" s="480" t="s">
        <v>123</v>
      </c>
      <c r="D121" s="480" t="s">
        <v>791</v>
      </c>
    </row>
    <row r="122" spans="1:4" x14ac:dyDescent="0.15">
      <c r="A122" s="478">
        <f t="shared" si="3"/>
        <v>122</v>
      </c>
      <c r="B122" s="480" t="str">
        <f t="shared" si="2"/>
        <v>e: Totale overhead per jaar</v>
      </c>
      <c r="C122" s="480" t="s">
        <v>124</v>
      </c>
      <c r="D122" s="480" t="s">
        <v>792</v>
      </c>
    </row>
    <row r="123" spans="1:4" ht="115.5" x14ac:dyDescent="0.15">
      <c r="A123" s="478">
        <f t="shared" si="3"/>
        <v>123</v>
      </c>
      <c r="B123" s="480" t="str">
        <f t="shared" si="2"/>
        <v xml:space="preserve">De in het TCO-Vracht gebruikte default- c.q. standaardwaarden zijn met de grootste zorg verzameld. Het betreft echter gemiddelde cijfers, de werkelijke cijfers kunnen ofwel hoger dan wel lager zijn. Hoewel veel zorg is besteed aan de correctheid van de rekenregels en de gebruikte inputdata, is Panteia of de Topsector Logistiek niet aansprakelijk te houden voor de juistheid van de rekenresultaten. </v>
      </c>
      <c r="C123" s="480" t="s">
        <v>1</v>
      </c>
      <c r="D123" s="480" t="s">
        <v>793</v>
      </c>
    </row>
    <row r="124" spans="1:4" x14ac:dyDescent="0.15">
      <c r="A124" s="478">
        <f t="shared" si="3"/>
        <v>124</v>
      </c>
      <c r="B124" s="480" t="str">
        <f t="shared" si="2"/>
        <v>Voorwoord</v>
      </c>
      <c r="C124" s="480" t="s">
        <v>794</v>
      </c>
      <c r="D124" s="480" t="s">
        <v>811</v>
      </c>
    </row>
    <row r="125" spans="1:4" ht="126" x14ac:dyDescent="0.15">
      <c r="A125" s="478">
        <f t="shared" si="3"/>
        <v>125</v>
      </c>
      <c r="B125" s="480" t="str">
        <f t="shared" si="2"/>
        <v>Het kostprijsmodel “TCO-ZET-Vracht” is in opdracht van Topsector Logistiek en het Ministerie van I&amp;W door Panteia gebouwd en wordt door haar vervolgens onderhouden. Bij de ontwikkeling van dit TCO-model is gekozen voor een open en transparante opzet. Dit betekent dat helder is welke rekenregels zijn toegepast en welke waarde van de default data als uitgangswaarde is gehanteerd. Het TCO-model wordt mede onderschreven door RAI, evofenedex en TLN.</v>
      </c>
      <c r="C125" s="480" t="s">
        <v>795</v>
      </c>
      <c r="D125" s="480" t="s">
        <v>812</v>
      </c>
    </row>
    <row r="126" spans="1:4" ht="21" x14ac:dyDescent="0.15">
      <c r="A126" s="478">
        <f t="shared" si="3"/>
        <v>126</v>
      </c>
      <c r="B126" s="480" t="str">
        <f t="shared" si="2"/>
        <v>Nieuw in TCO-ZET-Vracht versie 4.0 (d.d. 19-9-2022):</v>
      </c>
      <c r="C126" s="480" t="s">
        <v>922</v>
      </c>
      <c r="D126" s="480" t="s">
        <v>923</v>
      </c>
    </row>
    <row r="127" spans="1:4" ht="231" x14ac:dyDescent="0.15">
      <c r="A127" s="478">
        <f t="shared" si="3"/>
        <v>127</v>
      </c>
      <c r="B127" s="480" t="str">
        <f t="shared" si="2"/>
        <v xml:space="preserve">De belangrijkste wijziging ten opzichte van versie 2 betreft een verlegging van het basisjaar van 2021 naar 2022.
Gemeld moet worden dat het uitdagend is gebleken om voldoende onderbouwde veranderingen vast te stellen daar de (prijs-) ontwikkelingen in de energie- en transportmarkt aan sterke fluctuaties onderhevig zijn.
De doorgevoerde verhoging van belangrijke posten is als volgt:
- Catalogusprijs van dieselvoertuigen: + 15%.
- Catalogusprijs van BEV en FCEV: + 3%.
- Rentepercentage 3,93% (2021: 2,65% ).
- Verzekeringspercentage 3,22% (2021: 3,00%).
- Dieselprijs (default): 1,92 euro/liter (incl. verlaagde accijns, excl. btw).
- Elektriciteitsprijs (default): 0,12 euro/kWh (Zone 3, excl. btw).
</v>
      </c>
      <c r="C127" s="480" t="s">
        <v>901</v>
      </c>
      <c r="D127" s="480" t="s">
        <v>813</v>
      </c>
    </row>
    <row r="128" spans="1:4" ht="126" x14ac:dyDescent="0.15">
      <c r="A128" s="478">
        <f t="shared" si="3"/>
        <v>128</v>
      </c>
      <c r="B128" s="480" t="str">
        <f t="shared" si="2"/>
        <v xml:space="preserve">Overige aanpassingen:
- Bij FCEV wordt uitsluitend de waarde van HBE's berekend in geval van groene elektrolyse.
- Ten behoeve van de berekening van de subsidiebedragen is een vraag over de bedrijfsgrootte toegevoegd.
- TCO-vracht is nu beschikbaar in het Nederlands en het Engels. Om van taal te switchen kan linksboven in de readme een keuze gemaakt worden.
</v>
      </c>
      <c r="C128" s="480" t="s">
        <v>902</v>
      </c>
      <c r="D128" s="480" t="s">
        <v>903</v>
      </c>
    </row>
    <row r="129" spans="1:4" x14ac:dyDescent="0.15">
      <c r="A129" s="478">
        <f t="shared" si="3"/>
        <v>129</v>
      </c>
      <c r="B129" s="480" t="str">
        <f t="shared" si="2"/>
        <v xml:space="preserve">Het gebruik </v>
      </c>
      <c r="C129" s="480" t="s">
        <v>797</v>
      </c>
      <c r="D129" s="480" t="s">
        <v>814</v>
      </c>
    </row>
    <row r="130" spans="1:4" ht="105" x14ac:dyDescent="0.15">
      <c r="A130" s="478">
        <f t="shared" si="3"/>
        <v>130</v>
      </c>
      <c r="B130" s="480" t="str">
        <f t="shared" ref="B130:B193" si="4">+HLOOKUP($B$1,$C$1:$D$505,$A130,0)</f>
        <v xml:space="preserve">De opzet van het TCO-Vracht is zo eenvoudig als mogelijk gehouden. Dit houdt in dat het TCO-Vracht op basis van een beperkte input reeds onderbouwde rekenresultaten produceert. Wel moet het veld “Enable Content” (soms) worden aangeklikt om gebruik te kunnen maken van voor de berekeningen noodzakelijke “Macros”. 
</v>
      </c>
      <c r="C130" s="480" t="s">
        <v>798</v>
      </c>
      <c r="D130" s="480" t="s">
        <v>815</v>
      </c>
    </row>
    <row r="131" spans="1:4" x14ac:dyDescent="0.15">
      <c r="A131" s="478">
        <f t="shared" ref="A131:A189" si="5">+A130+1</f>
        <v>131</v>
      </c>
      <c r="B131" s="480" t="str">
        <f t="shared" si="4"/>
        <v>Defaultwaarden</v>
      </c>
      <c r="C131" s="480" t="s">
        <v>799</v>
      </c>
      <c r="D131" s="480" t="s">
        <v>816</v>
      </c>
    </row>
    <row r="132" spans="1:4" ht="147" x14ac:dyDescent="0.15">
      <c r="A132" s="478">
        <f t="shared" si="5"/>
        <v>132</v>
      </c>
      <c r="B132" s="480" t="str">
        <f t="shared" si="4"/>
        <v xml:space="preserve">Bij een groot aantal (input-) gegevens is in het TCO-Vracht reeds een defaultwaarde ingevuld. Deze defaultwaarde (=standaardwaarde) is gebaseerd op gegevens uit de transportwereld. Veel van deze gegevens kunnen naar eigen inzicht veranderd worden met een eigen getal door gebruik te maken van een aantal “knoppen”. Bij deze knoppen is telkens de gebruikte defaultwaarde weergegeven. Overigens, met de resetknop: “Start nieuwe berekening”, wordt teruggegaan naar de oorspronkelijke (default-) waarden. 
</v>
      </c>
      <c r="C132" s="480" t="s">
        <v>800</v>
      </c>
      <c r="D132" s="480" t="s">
        <v>817</v>
      </c>
    </row>
    <row r="133" spans="1:4" x14ac:dyDescent="0.15">
      <c r="A133" s="478">
        <f t="shared" si="5"/>
        <v>133</v>
      </c>
      <c r="B133" s="480" t="str">
        <f t="shared" si="4"/>
        <v>Resultaten</v>
      </c>
      <c r="C133" s="480" t="s">
        <v>801</v>
      </c>
      <c r="D133" s="480" t="s">
        <v>818</v>
      </c>
    </row>
    <row r="134" spans="1:4" ht="126" x14ac:dyDescent="0.15">
      <c r="A134" s="478">
        <f t="shared" si="5"/>
        <v>134</v>
      </c>
      <c r="B134" s="480" t="str">
        <f t="shared" si="4"/>
        <v xml:space="preserve">De rekenresultaten worden kolomsgewijs getoond voor telkens een elektrische, een brandstofcel en een dieselvariant van een voertuig met vergelijkbare transportkarakteristieken. De verwachte jaarkilometrage van het geselecteerde voertuig is een bepalend getal. Op basis hiervan worden niet alleen de kosten en emissies berekend maar wordt bijvoorbeeld ook een advies gegeven over optimale capaciteit van de batterij en het vermogen van het oplaadsysteem. </v>
      </c>
      <c r="C134" s="480" t="s">
        <v>802</v>
      </c>
      <c r="D134" s="480" t="s">
        <v>819</v>
      </c>
    </row>
    <row r="135" spans="1:4" x14ac:dyDescent="0.15">
      <c r="A135" s="478">
        <f t="shared" si="5"/>
        <v>135</v>
      </c>
      <c r="B135" s="480" t="str">
        <f t="shared" si="4"/>
        <v xml:space="preserve">Emissies </v>
      </c>
      <c r="C135" s="480" t="s">
        <v>803</v>
      </c>
      <c r="D135" s="480" t="s">
        <v>820</v>
      </c>
    </row>
    <row r="136" spans="1:4" ht="157.5" x14ac:dyDescent="0.15">
      <c r="A136" s="478">
        <f t="shared" si="5"/>
        <v>136</v>
      </c>
      <c r="B136" s="480" t="str">
        <f t="shared" si="4"/>
        <v xml:space="preserve">Hoewel het een kostprijsmodel betreft, worden tevens de emissies (WtW) van een aantal vervuilende stoffen van het geselecteerde voertuig berekend. Het betreft daarbij CO2, NOx en PMx. Het ligt voor de hand dat er met (batterij of brandstofcel) elektrische voertuigen op groene stroom c.q. groene waterstof gereden wordt. Wanneer dit om een of andere reden niet mogelijk is, kan bijvoorbeeld “grijze elektriciteit” worden geselecteerd. Er wordt in dat geval gerekend met (de uitstoot van) de Nederlandse elektriciteitsmix. 
</v>
      </c>
      <c r="C136" s="480" t="s">
        <v>804</v>
      </c>
      <c r="D136" s="480" t="s">
        <v>821</v>
      </c>
    </row>
    <row r="137" spans="1:4" x14ac:dyDescent="0.15">
      <c r="A137" s="478">
        <f t="shared" si="5"/>
        <v>137</v>
      </c>
      <c r="B137" s="480" t="str">
        <f t="shared" si="4"/>
        <v>Nieuwe versies</v>
      </c>
      <c r="C137" s="480" t="s">
        <v>805</v>
      </c>
      <c r="D137" s="480" t="s">
        <v>822</v>
      </c>
    </row>
    <row r="138" spans="1:4" ht="136.5" x14ac:dyDescent="0.15">
      <c r="A138" s="478">
        <f t="shared" si="5"/>
        <v>138</v>
      </c>
      <c r="B138" s="480" t="str">
        <f t="shared" si="4"/>
        <v xml:space="preserve">De ontwikkelingen met betrekking tot de energietransitie volgen elkaar in een hoog tempo op. Niet alleen verandert de defaultwaarde van de inputgegevens bijvoorbeeld in de vorm van prijsdalingen, ook komen er regelmatig nieuwe voertuigklassen beschikbaar. Om te zorgen dat het TCO-Vracht zo actueel mogelijk blijft, worden er daarom periodiek updates gemaakt. Deze nieuwe versies van het model worden vervolgens gratis ter beschikking gesteld. 
</v>
      </c>
      <c r="C138" s="480" t="s">
        <v>806</v>
      </c>
      <c r="D138" s="480" t="s">
        <v>823</v>
      </c>
    </row>
    <row r="139" spans="1:4" x14ac:dyDescent="0.15">
      <c r="A139" s="478">
        <f t="shared" si="5"/>
        <v>139</v>
      </c>
      <c r="B139" s="480" t="str">
        <f t="shared" si="4"/>
        <v xml:space="preserve">Disclaimer </v>
      </c>
      <c r="C139" s="480" t="s">
        <v>810</v>
      </c>
      <c r="D139" s="480" t="s">
        <v>810</v>
      </c>
    </row>
    <row r="140" spans="1:4" ht="84" x14ac:dyDescent="0.15">
      <c r="A140" s="478">
        <f t="shared" si="5"/>
        <v>140</v>
      </c>
      <c r="B140" s="480" t="str">
        <f t="shared" si="4"/>
        <v xml:space="preserve">Veel zorg is besteed aan de correctheid van de rekenregels en de gebruikte inputdata c.q. defaultwaarden. Panteia of de Topsector Logistiek zijn echter niet aansprakelijk te houden voor de juistheid van de rekenresultaten. Deze kunnen ofwel lager dan wel hoger zijn. 
</v>
      </c>
      <c r="C140" s="480" t="s">
        <v>807</v>
      </c>
      <c r="D140" s="480" t="s">
        <v>824</v>
      </c>
    </row>
    <row r="141" spans="1:4" x14ac:dyDescent="0.15">
      <c r="A141" s="478">
        <f t="shared" si="5"/>
        <v>141</v>
      </c>
      <c r="B141" s="480" t="str">
        <f t="shared" si="4"/>
        <v>Contact</v>
      </c>
      <c r="C141" s="480" t="s">
        <v>808</v>
      </c>
      <c r="D141" s="480" t="s">
        <v>808</v>
      </c>
    </row>
    <row r="142" spans="1:4" ht="42" x14ac:dyDescent="0.15">
      <c r="A142" s="478">
        <f t="shared" si="5"/>
        <v>142</v>
      </c>
      <c r="B142" s="480" t="str">
        <f t="shared" si="4"/>
        <v xml:space="preserve">Indien u vragen hebt dan kunt u deze bij voorkeur verzenden naar: 
TCO-Vracht@panteia.nl
</v>
      </c>
      <c r="C142" s="480" t="s">
        <v>809</v>
      </c>
      <c r="D142" s="480" t="s">
        <v>825</v>
      </c>
    </row>
    <row r="143" spans="1:4" ht="42" x14ac:dyDescent="0.15">
      <c r="A143" s="478">
        <f t="shared" si="5"/>
        <v>143</v>
      </c>
      <c r="B143" s="480" t="str">
        <f t="shared" si="4"/>
        <v>Let op:
Na 2025 kunnen er maatregelen van kracht worden die de economische levensduur van dieselvoertuigen verkorten.</v>
      </c>
      <c r="C143" s="480" t="s">
        <v>826</v>
      </c>
      <c r="D143" s="480" t="s">
        <v>884</v>
      </c>
    </row>
    <row r="144" spans="1:4" ht="73.5" x14ac:dyDescent="0.15">
      <c r="A144" s="478">
        <f t="shared" si="5"/>
        <v>144</v>
      </c>
      <c r="B144" s="480" t="str">
        <f t="shared" si="4"/>
        <v xml:space="preserve">Let op:   
Het verdienen van HBE’s is aan strenge regels onderworpen.  
Er wordt 2.000 euro per jaar in rekening gebracht voor kosten die gemaakt moeten worden om HBE's te innen.
</v>
      </c>
      <c r="C144" s="480" t="s">
        <v>827</v>
      </c>
      <c r="D144" s="480" t="s">
        <v>828</v>
      </c>
    </row>
    <row r="145" spans="1:4" ht="42" x14ac:dyDescent="0.15">
      <c r="A145" s="478">
        <f t="shared" si="5"/>
        <v>145</v>
      </c>
      <c r="B145" s="480" t="str">
        <f t="shared" si="4"/>
        <v xml:space="preserve">Let op:   
Het budget van de AanZET-subsidie voor het jaar 2022 is reeds uitgeput.  
</v>
      </c>
      <c r="C145" s="480" t="s">
        <v>829</v>
      </c>
      <c r="D145" s="480" t="s">
        <v>830</v>
      </c>
    </row>
    <row r="146" spans="1:4" x14ac:dyDescent="0.15">
      <c r="A146" s="478">
        <f t="shared" si="5"/>
        <v>146</v>
      </c>
      <c r="B146" s="480" t="str">
        <f t="shared" si="4"/>
        <v>[km/jaar]</v>
      </c>
      <c r="C146" s="480" t="s">
        <v>148</v>
      </c>
      <c r="D146" s="480" t="s">
        <v>831</v>
      </c>
    </row>
    <row r="147" spans="1:4" x14ac:dyDescent="0.15">
      <c r="A147" s="478">
        <f t="shared" si="5"/>
        <v>147</v>
      </c>
      <c r="B147" s="480" t="str">
        <f t="shared" si="4"/>
        <v>Start nieuwe berekening</v>
      </c>
      <c r="C147" s="480" t="s">
        <v>833</v>
      </c>
      <c r="D147" s="480" t="s">
        <v>832</v>
      </c>
    </row>
    <row r="148" spans="1:4" x14ac:dyDescent="0.15">
      <c r="A148" s="478">
        <f t="shared" si="5"/>
        <v>148</v>
      </c>
      <c r="B148" s="480" t="str">
        <f t="shared" si="4"/>
        <v>&lt;naam&gt; + &lt;datum&gt;</v>
      </c>
      <c r="C148" s="480" t="s">
        <v>495</v>
      </c>
      <c r="D148" s="480" t="s">
        <v>834</v>
      </c>
    </row>
    <row r="149" spans="1:4" x14ac:dyDescent="0.15">
      <c r="A149" s="478">
        <f t="shared" si="5"/>
        <v>149</v>
      </c>
      <c r="B149" s="480" t="str">
        <f t="shared" si="4"/>
        <v>BASIS UITGANGSPUNTEN</v>
      </c>
      <c r="C149" s="480" t="s">
        <v>32</v>
      </c>
      <c r="D149" s="480" t="s">
        <v>886</v>
      </c>
    </row>
    <row r="150" spans="1:4" x14ac:dyDescent="0.15">
      <c r="A150" s="478">
        <f t="shared" si="5"/>
        <v>150</v>
      </c>
      <c r="B150" s="480" t="str">
        <f t="shared" si="4"/>
        <v>Netto inkooprijs</v>
      </c>
      <c r="C150" s="480" t="s">
        <v>58</v>
      </c>
      <c r="D150" s="480" t="s">
        <v>713</v>
      </c>
    </row>
    <row r="151" spans="1:4" x14ac:dyDescent="0.15">
      <c r="A151" s="478">
        <f t="shared" si="5"/>
        <v>151</v>
      </c>
      <c r="B151" s="480" t="str">
        <f t="shared" si="4"/>
        <v>excl. BTW en accijns</v>
      </c>
      <c r="C151" s="480" t="s">
        <v>345</v>
      </c>
      <c r="D151" s="480" t="s">
        <v>836</v>
      </c>
    </row>
    <row r="152" spans="1:4" x14ac:dyDescent="0.15">
      <c r="A152" s="478">
        <f t="shared" si="5"/>
        <v>152</v>
      </c>
      <c r="B152" s="480" t="str">
        <f t="shared" si="4"/>
        <v>excl. BTW</v>
      </c>
      <c r="C152" s="480" t="s">
        <v>349</v>
      </c>
      <c r="D152" s="480" t="s">
        <v>837</v>
      </c>
    </row>
    <row r="153" spans="1:4" x14ac:dyDescent="0.15">
      <c r="A153" s="478">
        <f t="shared" si="5"/>
        <v>153</v>
      </c>
      <c r="B153" s="480" t="str">
        <f t="shared" si="4"/>
        <v>Elektrisch voertuig (BEV)</v>
      </c>
      <c r="C153" s="480" t="s">
        <v>840</v>
      </c>
      <c r="D153" s="480" t="s">
        <v>839</v>
      </c>
    </row>
    <row r="154" spans="1:4" x14ac:dyDescent="0.15">
      <c r="A154" s="478">
        <f t="shared" si="5"/>
        <v>154</v>
      </c>
      <c r="B154" s="480" t="str">
        <f t="shared" si="4"/>
        <v>Waterstof voertuig (FCEV)</v>
      </c>
      <c r="C154" s="480" t="s">
        <v>47</v>
      </c>
      <c r="D154" s="480" t="s">
        <v>838</v>
      </c>
    </row>
    <row r="155" spans="1:4" x14ac:dyDescent="0.15">
      <c r="A155" s="478">
        <f t="shared" si="5"/>
        <v>155</v>
      </c>
      <c r="B155" s="480" t="str">
        <f t="shared" si="4"/>
        <v>CO2-prijs</v>
      </c>
      <c r="C155" s="480" t="s">
        <v>100</v>
      </c>
      <c r="D155" s="480" t="s">
        <v>724</v>
      </c>
    </row>
    <row r="156" spans="1:4" x14ac:dyDescent="0.15">
      <c r="A156" s="478">
        <f t="shared" si="5"/>
        <v>156</v>
      </c>
      <c r="B156" s="480" t="str">
        <f t="shared" si="4"/>
        <v>versie 4.0</v>
      </c>
      <c r="C156" s="480" t="s">
        <v>125</v>
      </c>
      <c r="D156" s="480" t="s">
        <v>841</v>
      </c>
    </row>
    <row r="157" spans="1:4" x14ac:dyDescent="0.15">
      <c r="A157" s="478">
        <f t="shared" si="5"/>
        <v>157</v>
      </c>
      <c r="B157" s="480" t="str">
        <f t="shared" si="4"/>
        <v>Defaultwaarde</v>
      </c>
      <c r="C157" s="480" t="s">
        <v>127</v>
      </c>
      <c r="D157" s="480" t="s">
        <v>842</v>
      </c>
    </row>
    <row r="158" spans="1:4" x14ac:dyDescent="0.15">
      <c r="A158" s="478">
        <f t="shared" si="5"/>
        <v>158</v>
      </c>
      <c r="B158" s="480" t="str">
        <f t="shared" si="4"/>
        <v>keuze 1</v>
      </c>
      <c r="C158" s="480" t="s">
        <v>128</v>
      </c>
      <c r="D158" s="480" t="s">
        <v>843</v>
      </c>
    </row>
    <row r="159" spans="1:4" x14ac:dyDescent="0.15">
      <c r="A159" s="478">
        <f t="shared" si="5"/>
        <v>159</v>
      </c>
      <c r="B159" s="480" t="str">
        <f t="shared" si="4"/>
        <v>keuze 2</v>
      </c>
      <c r="C159" s="480" t="s">
        <v>129</v>
      </c>
      <c r="D159" s="480" t="s">
        <v>844</v>
      </c>
    </row>
    <row r="160" spans="1:4" x14ac:dyDescent="0.15">
      <c r="A160" s="478">
        <f t="shared" si="5"/>
        <v>160</v>
      </c>
      <c r="B160" s="480" t="str">
        <f t="shared" si="4"/>
        <v>keuze 3</v>
      </c>
      <c r="C160" s="480" t="s">
        <v>130</v>
      </c>
      <c r="D160" s="480" t="s">
        <v>845</v>
      </c>
    </row>
    <row r="161" spans="1:4" x14ac:dyDescent="0.15">
      <c r="A161" s="478">
        <f t="shared" si="5"/>
        <v>161</v>
      </c>
      <c r="B161" s="480" t="str">
        <f t="shared" si="4"/>
        <v>keuze 4</v>
      </c>
      <c r="C161" s="480" t="s">
        <v>131</v>
      </c>
      <c r="D161" s="480" t="s">
        <v>846</v>
      </c>
    </row>
    <row r="162" spans="1:4" x14ac:dyDescent="0.15">
      <c r="A162" s="478">
        <f t="shared" si="5"/>
        <v>162</v>
      </c>
      <c r="B162" s="480" t="str">
        <f t="shared" si="4"/>
        <v>keuze 5</v>
      </c>
      <c r="C162" s="480" t="s">
        <v>132</v>
      </c>
      <c r="D162" s="480" t="s">
        <v>847</v>
      </c>
    </row>
    <row r="163" spans="1:4" x14ac:dyDescent="0.15">
      <c r="A163" s="478">
        <f t="shared" si="5"/>
        <v>163</v>
      </c>
      <c r="B163" s="480" t="str">
        <f t="shared" si="4"/>
        <v>keuze 6</v>
      </c>
      <c r="C163" s="480" t="s">
        <v>133</v>
      </c>
      <c r="D163" s="480" t="s">
        <v>848</v>
      </c>
    </row>
    <row r="164" spans="1:4" x14ac:dyDescent="0.15">
      <c r="A164" s="478">
        <f t="shared" si="5"/>
        <v>164</v>
      </c>
      <c r="B164" s="480" t="str">
        <f t="shared" si="4"/>
        <v>keuze 7</v>
      </c>
      <c r="C164" s="480" t="s">
        <v>134</v>
      </c>
      <c r="D164" s="480" t="s">
        <v>849</v>
      </c>
    </row>
    <row r="165" spans="1:4" x14ac:dyDescent="0.15">
      <c r="A165" s="478">
        <f t="shared" si="5"/>
        <v>165</v>
      </c>
      <c r="B165" s="480" t="str">
        <f t="shared" si="4"/>
        <v>keuze 8</v>
      </c>
      <c r="C165" s="480" t="s">
        <v>135</v>
      </c>
      <c r="D165" s="480" t="s">
        <v>850</v>
      </c>
    </row>
    <row r="166" spans="1:4" x14ac:dyDescent="0.15">
      <c r="A166" s="478">
        <f t="shared" si="5"/>
        <v>166</v>
      </c>
      <c r="B166" s="480" t="str">
        <f t="shared" si="4"/>
        <v>keuze 9</v>
      </c>
      <c r="C166" s="480" t="s">
        <v>136</v>
      </c>
      <c r="D166" s="480" t="s">
        <v>851</v>
      </c>
    </row>
    <row r="167" spans="1:4" x14ac:dyDescent="0.15">
      <c r="A167" s="478">
        <f t="shared" si="5"/>
        <v>167</v>
      </c>
      <c r="B167" s="480" t="str">
        <f t="shared" si="4"/>
        <v>keuze 10</v>
      </c>
      <c r="C167" s="480" t="s">
        <v>137</v>
      </c>
      <c r="D167" s="480" t="s">
        <v>852</v>
      </c>
    </row>
    <row r="168" spans="1:4" x14ac:dyDescent="0.15">
      <c r="A168" s="478">
        <f t="shared" si="5"/>
        <v>168</v>
      </c>
      <c r="B168" s="480" t="str">
        <f t="shared" si="4"/>
        <v>keuze 11</v>
      </c>
      <c r="C168" s="480" t="s">
        <v>138</v>
      </c>
      <c r="D168" s="480" t="s">
        <v>853</v>
      </c>
    </row>
    <row r="169" spans="1:4" x14ac:dyDescent="0.15">
      <c r="A169" s="478">
        <f t="shared" si="5"/>
        <v>169</v>
      </c>
      <c r="B169" s="480" t="str">
        <f t="shared" si="4"/>
        <v>keuze 12</v>
      </c>
      <c r="C169" s="480" t="s">
        <v>139</v>
      </c>
      <c r="D169" s="480" t="s">
        <v>854</v>
      </c>
    </row>
    <row r="170" spans="1:4" x14ac:dyDescent="0.15">
      <c r="A170" s="478">
        <f t="shared" si="5"/>
        <v>170</v>
      </c>
      <c r="B170" s="480" t="str">
        <f t="shared" si="4"/>
        <v>keuze 13</v>
      </c>
      <c r="C170" s="480" t="s">
        <v>140</v>
      </c>
      <c r="D170" s="480" t="s">
        <v>855</v>
      </c>
    </row>
    <row r="171" spans="1:4" x14ac:dyDescent="0.15">
      <c r="A171" s="478">
        <f t="shared" si="5"/>
        <v>171</v>
      </c>
      <c r="B171" s="480" t="str">
        <f t="shared" si="4"/>
        <v>keuze 14</v>
      </c>
      <c r="C171" s="480" t="s">
        <v>141</v>
      </c>
      <c r="D171" s="480" t="s">
        <v>856</v>
      </c>
    </row>
    <row r="172" spans="1:4" x14ac:dyDescent="0.15">
      <c r="A172" s="478">
        <f t="shared" si="5"/>
        <v>172</v>
      </c>
      <c r="B172" s="480" t="str">
        <f t="shared" si="4"/>
        <v>keuze 15</v>
      </c>
      <c r="C172" s="480" t="s">
        <v>142</v>
      </c>
      <c r="D172" s="480" t="s">
        <v>857</v>
      </c>
    </row>
    <row r="173" spans="1:4" x14ac:dyDescent="0.15">
      <c r="A173" s="478">
        <f t="shared" si="5"/>
        <v>173</v>
      </c>
      <c r="B173" s="480" t="str">
        <f t="shared" si="4"/>
        <v>Kleine bakwagen (lvm &lt;12 ton)</v>
      </c>
      <c r="C173" s="480" t="s">
        <v>660</v>
      </c>
      <c r="D173" s="480" t="s">
        <v>875</v>
      </c>
    </row>
    <row r="174" spans="1:4" x14ac:dyDescent="0.15">
      <c r="A174" s="478">
        <f t="shared" si="5"/>
        <v>174</v>
      </c>
      <c r="B174" s="480" t="str">
        <f t="shared" si="4"/>
        <v>Medium bakwagen (lvm 12-18 ton)</v>
      </c>
      <c r="C174" s="480" t="s">
        <v>661</v>
      </c>
      <c r="D174" s="480" t="s">
        <v>876</v>
      </c>
    </row>
    <row r="175" spans="1:4" x14ac:dyDescent="0.15">
      <c r="A175" s="478">
        <f t="shared" si="5"/>
        <v>175</v>
      </c>
      <c r="B175" s="480" t="str">
        <f t="shared" si="4"/>
        <v>Grote bakwagen (lvm &gt;18 ton)</v>
      </c>
      <c r="C175" s="480" t="s">
        <v>662</v>
      </c>
      <c r="D175" s="480" t="s">
        <v>858</v>
      </c>
    </row>
    <row r="176" spans="1:4" x14ac:dyDescent="0.15">
      <c r="A176" s="478">
        <f t="shared" si="5"/>
        <v>176</v>
      </c>
      <c r="B176" s="480" t="str">
        <f t="shared" si="4"/>
        <v>Lichte trekker z/opl (GVW &lt;40 ton)</v>
      </c>
      <c r="C176" s="480" t="s">
        <v>663</v>
      </c>
      <c r="D176" s="480" t="s">
        <v>878</v>
      </c>
    </row>
    <row r="177" spans="1:4" x14ac:dyDescent="0.15">
      <c r="A177" s="478">
        <f t="shared" si="5"/>
        <v>177</v>
      </c>
      <c r="B177" s="480" t="str">
        <f t="shared" si="4"/>
        <v>Zware trekker z/opl (GVW &gt;40 ton)</v>
      </c>
      <c r="C177" s="480" t="s">
        <v>664</v>
      </c>
      <c r="D177" s="480" t="s">
        <v>877</v>
      </c>
    </row>
    <row r="178" spans="1:4" x14ac:dyDescent="0.15">
      <c r="A178" s="478">
        <f t="shared" si="5"/>
        <v>178</v>
      </c>
      <c r="B178" s="480" t="str">
        <f t="shared" si="4"/>
        <v>niet gekoeld</v>
      </c>
      <c r="C178" s="480" t="s">
        <v>15</v>
      </c>
      <c r="D178" s="480" t="s">
        <v>859</v>
      </c>
    </row>
    <row r="179" spans="1:4" x14ac:dyDescent="0.15">
      <c r="A179" s="478">
        <f t="shared" si="5"/>
        <v>179</v>
      </c>
      <c r="B179" s="480" t="str">
        <f t="shared" si="4"/>
        <v>gekoeld</v>
      </c>
      <c r="C179" s="480" t="s">
        <v>147</v>
      </c>
      <c r="D179" s="480" t="s">
        <v>860</v>
      </c>
    </row>
    <row r="180" spans="1:4" x14ac:dyDescent="0.15">
      <c r="A180" s="478">
        <f t="shared" si="5"/>
        <v>180</v>
      </c>
      <c r="B180" s="480" t="str">
        <f t="shared" si="4"/>
        <v>BV of NV met 25,8% belasting</v>
      </c>
      <c r="C180" s="480" t="s">
        <v>152</v>
      </c>
      <c r="D180" s="480" t="s">
        <v>861</v>
      </c>
    </row>
    <row r="181" spans="1:4" x14ac:dyDescent="0.15">
      <c r="A181" s="478">
        <f t="shared" si="5"/>
        <v>181</v>
      </c>
      <c r="B181" s="480" t="str">
        <f t="shared" si="4"/>
        <v>Eenmanszaak met 37,07% belasting</v>
      </c>
      <c r="C181" s="480" t="s">
        <v>153</v>
      </c>
      <c r="D181" s="480" t="s">
        <v>862</v>
      </c>
    </row>
    <row r="182" spans="1:4" x14ac:dyDescent="0.15">
      <c r="A182" s="478">
        <f t="shared" si="5"/>
        <v>182</v>
      </c>
      <c r="B182" s="480" t="str">
        <f t="shared" si="4"/>
        <v>Eenmanszaak met 49,5% belasting</v>
      </c>
      <c r="C182" s="480" t="s">
        <v>154</v>
      </c>
      <c r="D182" s="480" t="s">
        <v>863</v>
      </c>
    </row>
    <row r="183" spans="1:4" x14ac:dyDescent="0.15">
      <c r="A183" s="478">
        <f t="shared" si="5"/>
        <v>183</v>
      </c>
      <c r="B183" s="480" t="str">
        <f t="shared" si="4"/>
        <v>Middelgroot</v>
      </c>
      <c r="C183" s="480" t="s">
        <v>156</v>
      </c>
      <c r="D183" s="480" t="s">
        <v>864</v>
      </c>
    </row>
    <row r="184" spans="1:4" x14ac:dyDescent="0.15">
      <c r="A184" s="478">
        <f t="shared" si="5"/>
        <v>184</v>
      </c>
      <c r="B184" s="480" t="str">
        <f t="shared" si="4"/>
        <v>Klein</v>
      </c>
      <c r="C184" s="480" t="s">
        <v>157</v>
      </c>
      <c r="D184" s="480" t="s">
        <v>865</v>
      </c>
    </row>
    <row r="185" spans="1:4" ht="21" x14ac:dyDescent="0.15">
      <c r="A185" s="478">
        <f t="shared" si="5"/>
        <v>185</v>
      </c>
      <c r="B185" s="480" t="str">
        <f t="shared" si="4"/>
        <v>onderstaande waarden tevens defaultwaarden</v>
      </c>
      <c r="C185" s="480" t="s">
        <v>163</v>
      </c>
      <c r="D185" s="480" t="s">
        <v>866</v>
      </c>
    </row>
    <row r="186" spans="1:4" x14ac:dyDescent="0.15">
      <c r="A186" s="478">
        <f t="shared" si="5"/>
        <v>186</v>
      </c>
      <c r="B186" s="480" t="str">
        <f t="shared" si="4"/>
        <v>Groen</v>
      </c>
      <c r="C186" s="480" t="s">
        <v>20</v>
      </c>
      <c r="D186" s="480" t="s">
        <v>867</v>
      </c>
    </row>
    <row r="187" spans="1:4" x14ac:dyDescent="0.15">
      <c r="A187" s="478">
        <f t="shared" si="5"/>
        <v>187</v>
      </c>
      <c r="B187" s="480" t="str">
        <f t="shared" si="4"/>
        <v>BV of NV met 15% belasting</v>
      </c>
      <c r="C187" s="480" t="s">
        <v>25</v>
      </c>
      <c r="D187" s="480" t="s">
        <v>868</v>
      </c>
    </row>
    <row r="188" spans="1:4" x14ac:dyDescent="0.15">
      <c r="A188" s="478">
        <f t="shared" si="5"/>
        <v>188</v>
      </c>
      <c r="B188" s="480" t="str">
        <f t="shared" si="4"/>
        <v>Groot</v>
      </c>
      <c r="C188" s="480" t="s">
        <v>28</v>
      </c>
      <c r="D188" s="480" t="s">
        <v>869</v>
      </c>
    </row>
    <row r="189" spans="1:4" ht="21" x14ac:dyDescent="0.15">
      <c r="A189" s="478">
        <f t="shared" si="5"/>
        <v>189</v>
      </c>
      <c r="B189" s="480" t="str">
        <f t="shared" si="4"/>
        <v>Onderstaande tabel bevat alle voertuigvarianten en kenmerken</v>
      </c>
      <c r="C189" s="480" t="s">
        <v>209</v>
      </c>
      <c r="D189" s="480" t="s">
        <v>870</v>
      </c>
    </row>
    <row r="190" spans="1:4" x14ac:dyDescent="0.15">
      <c r="A190" s="478">
        <f t="shared" ref="A190:A253" si="6">+A189+1</f>
        <v>190</v>
      </c>
      <c r="B190" s="480" t="str">
        <f t="shared" si="4"/>
        <v>Kleine bakwagen</v>
      </c>
      <c r="C190" s="480" t="s">
        <v>143</v>
      </c>
      <c r="D190" s="480" t="s">
        <v>871</v>
      </c>
    </row>
    <row r="191" spans="1:4" x14ac:dyDescent="0.15">
      <c r="A191" s="478">
        <f t="shared" si="6"/>
        <v>191</v>
      </c>
      <c r="B191" s="480" t="str">
        <f t="shared" si="4"/>
        <v>Medium bakwagen</v>
      </c>
      <c r="C191" s="480" t="s">
        <v>13</v>
      </c>
      <c r="D191" s="480" t="s">
        <v>872</v>
      </c>
    </row>
    <row r="192" spans="1:4" x14ac:dyDescent="0.15">
      <c r="A192" s="478">
        <f t="shared" si="6"/>
        <v>192</v>
      </c>
      <c r="B192" s="480" t="str">
        <f t="shared" si="4"/>
        <v>Grote bakwagen</v>
      </c>
      <c r="C192" s="480" t="s">
        <v>144</v>
      </c>
      <c r="D192" s="480" t="s">
        <v>873</v>
      </c>
    </row>
    <row r="193" spans="1:4" x14ac:dyDescent="0.15">
      <c r="A193" s="478">
        <f t="shared" si="6"/>
        <v>193</v>
      </c>
      <c r="B193" s="480" t="str">
        <f t="shared" si="4"/>
        <v>Lichte trekker z/opl</v>
      </c>
      <c r="C193" s="480" t="s">
        <v>145</v>
      </c>
      <c r="D193" s="480" t="s">
        <v>879</v>
      </c>
    </row>
    <row r="194" spans="1:4" x14ac:dyDescent="0.15">
      <c r="A194" s="478">
        <f t="shared" si="6"/>
        <v>194</v>
      </c>
      <c r="B194" s="480" t="str">
        <f t="shared" ref="B194:B257" si="7">+HLOOKUP($B$1,$C$1:$D$505,$A194,0)</f>
        <v>Zware trekker z/opl</v>
      </c>
      <c r="C194" s="480" t="s">
        <v>146</v>
      </c>
      <c r="D194" s="480" t="s">
        <v>874</v>
      </c>
    </row>
    <row r="195" spans="1:4" x14ac:dyDescent="0.15">
      <c r="A195" s="478">
        <f t="shared" si="6"/>
        <v>195</v>
      </c>
      <c r="B195" s="480" t="str">
        <f t="shared" si="7"/>
        <v>Dieselprijs (ex btw en accijns)</v>
      </c>
      <c r="C195" s="480" t="s">
        <v>344</v>
      </c>
      <c r="D195" s="480" t="s">
        <v>880</v>
      </c>
    </row>
    <row r="196" spans="1:4" x14ac:dyDescent="0.15">
      <c r="A196" s="478">
        <f t="shared" si="6"/>
        <v>196</v>
      </c>
      <c r="B196" s="480" t="str">
        <f t="shared" si="7"/>
        <v>EV Optimale mix</v>
      </c>
      <c r="C196" s="480" t="s">
        <v>64</v>
      </c>
      <c r="D196" s="480" t="s">
        <v>885</v>
      </c>
    </row>
    <row r="197" spans="1:4" ht="31.5" x14ac:dyDescent="0.15">
      <c r="A197" s="478">
        <f t="shared" si="6"/>
        <v>197</v>
      </c>
      <c r="B197" s="480" t="str">
        <f t="shared" si="7"/>
        <v>*Vul alle velden hierboven in of klik 'Start nieuwe berekening' voor een correcte berekening!</v>
      </c>
      <c r="C197" s="516" t="s">
        <v>888</v>
      </c>
      <c r="D197" s="516" t="s">
        <v>889</v>
      </c>
    </row>
    <row r="198" spans="1:4" x14ac:dyDescent="0.15">
      <c r="A198" s="478">
        <f t="shared" si="6"/>
        <v>198</v>
      </c>
      <c r="B198" s="480" t="str">
        <f t="shared" si="7"/>
        <v>Vergelijking Data</v>
      </c>
      <c r="C198" s="480" t="s">
        <v>490</v>
      </c>
      <c r="D198" s="480" t="s">
        <v>892</v>
      </c>
    </row>
    <row r="199" spans="1:4" x14ac:dyDescent="0.15">
      <c r="A199" s="478">
        <f t="shared" si="6"/>
        <v>199</v>
      </c>
      <c r="B199" s="480" t="str">
        <f t="shared" si="7"/>
        <v>Selecteer DataSet</v>
      </c>
      <c r="C199" s="480" t="s">
        <v>890</v>
      </c>
      <c r="D199" s="480" t="s">
        <v>491</v>
      </c>
    </row>
    <row r="200" spans="1:4" x14ac:dyDescent="0.15">
      <c r="A200" s="478">
        <f t="shared" si="6"/>
        <v>200</v>
      </c>
      <c r="B200" s="480" t="str">
        <f t="shared" si="7"/>
        <v>Voertuigscenario</v>
      </c>
      <c r="C200" s="480" t="s">
        <v>460</v>
      </c>
      <c r="D200" s="480" t="s">
        <v>893</v>
      </c>
    </row>
    <row r="201" spans="1:4" x14ac:dyDescent="0.15">
      <c r="A201" s="478">
        <f t="shared" si="6"/>
        <v>201</v>
      </c>
      <c r="B201" s="480" t="str">
        <f t="shared" si="7"/>
        <v>Diesel</v>
      </c>
      <c r="C201" s="480" t="s">
        <v>63</v>
      </c>
      <c r="D201" s="480" t="s">
        <v>63</v>
      </c>
    </row>
    <row r="202" spans="1:4" x14ac:dyDescent="0.15">
      <c r="A202" s="478">
        <f t="shared" si="6"/>
        <v>202</v>
      </c>
      <c r="B202" s="480" t="str">
        <f t="shared" si="7"/>
        <v>Elektrisch</v>
      </c>
      <c r="C202" s="480" t="s">
        <v>475</v>
      </c>
      <c r="D202" s="480" t="s">
        <v>565</v>
      </c>
    </row>
    <row r="203" spans="1:4" x14ac:dyDescent="0.15">
      <c r="A203" s="478">
        <f t="shared" si="6"/>
        <v>203</v>
      </c>
      <c r="B203" s="480" t="str">
        <f t="shared" si="7"/>
        <v>Waterstof</v>
      </c>
      <c r="C203" s="480" t="s">
        <v>361</v>
      </c>
      <c r="D203" s="480" t="s">
        <v>894</v>
      </c>
    </row>
    <row r="204" spans="1:4" x14ac:dyDescent="0.15">
      <c r="A204" s="478">
        <f t="shared" si="6"/>
        <v>204</v>
      </c>
      <c r="B204" s="480" t="str">
        <f t="shared" si="7"/>
        <v>Creatiedatum</v>
      </c>
      <c r="C204" s="480" t="s">
        <v>485</v>
      </c>
      <c r="D204" s="480" t="s">
        <v>895</v>
      </c>
    </row>
    <row r="205" spans="1:4" x14ac:dyDescent="0.15">
      <c r="A205" s="478">
        <f t="shared" si="6"/>
        <v>205</v>
      </c>
      <c r="B205" s="480" t="str">
        <f t="shared" si="7"/>
        <v>Voertuigtype</v>
      </c>
      <c r="C205" s="480" t="s">
        <v>12</v>
      </c>
      <c r="D205" s="480" t="s">
        <v>408</v>
      </c>
    </row>
    <row r="206" spans="1:4" x14ac:dyDescent="0.15">
      <c r="A206" s="478">
        <f t="shared" si="6"/>
        <v>206</v>
      </c>
      <c r="B206" s="480" t="str">
        <f t="shared" si="7"/>
        <v>Koelmachine (J/N)</v>
      </c>
      <c r="C206" s="480" t="s">
        <v>14</v>
      </c>
      <c r="D206" s="480" t="s">
        <v>695</v>
      </c>
    </row>
    <row r="207" spans="1:4" x14ac:dyDescent="0.15">
      <c r="A207" s="478">
        <f t="shared" si="6"/>
        <v>207</v>
      </c>
      <c r="B207" s="480" t="str">
        <f t="shared" si="7"/>
        <v>Verwacht jaarkilometrage</v>
      </c>
      <c r="C207" s="480" t="s">
        <v>17</v>
      </c>
      <c r="D207" s="480" t="s">
        <v>696</v>
      </c>
    </row>
    <row r="208" spans="1:4" x14ac:dyDescent="0.15">
      <c r="A208" s="478">
        <f t="shared" si="6"/>
        <v>208</v>
      </c>
      <c r="B208" s="480" t="str">
        <f t="shared" si="7"/>
        <v>Grijze/groene elektriciciteit</v>
      </c>
      <c r="C208" s="480" t="s">
        <v>19</v>
      </c>
      <c r="D208" s="480" t="s">
        <v>697</v>
      </c>
    </row>
    <row r="209" spans="1:4" x14ac:dyDescent="0.15">
      <c r="A209" s="478">
        <f t="shared" si="6"/>
        <v>209</v>
      </c>
      <c r="B209" s="480" t="str">
        <f t="shared" si="7"/>
        <v>Grijze/groene waterstof</v>
      </c>
      <c r="C209" s="480" t="s">
        <v>22</v>
      </c>
      <c r="D209" s="480" t="s">
        <v>698</v>
      </c>
    </row>
    <row r="210" spans="1:4" x14ac:dyDescent="0.15">
      <c r="A210" s="478">
        <f t="shared" si="6"/>
        <v>210</v>
      </c>
      <c r="B210" s="480" t="str">
        <f t="shared" si="7"/>
        <v>Rechtsvorm en belastingpercentage</v>
      </c>
      <c r="C210" s="480" t="s">
        <v>24</v>
      </c>
      <c r="D210" s="480" t="s">
        <v>699</v>
      </c>
    </row>
    <row r="211" spans="1:4" x14ac:dyDescent="0.15">
      <c r="A211" s="478">
        <f t="shared" si="6"/>
        <v>211</v>
      </c>
      <c r="B211" s="480" t="str">
        <f t="shared" si="7"/>
        <v>Jaar prognose</v>
      </c>
      <c r="C211" s="480" t="s">
        <v>461</v>
      </c>
      <c r="D211" s="480" t="s">
        <v>896</v>
      </c>
    </row>
    <row r="212" spans="1:4" x14ac:dyDescent="0.15">
      <c r="A212" s="478">
        <f t="shared" si="6"/>
        <v>212</v>
      </c>
      <c r="B212" s="480" t="str">
        <f t="shared" si="7"/>
        <v xml:space="preserve">Economische levensduur </v>
      </c>
      <c r="C212" s="480" t="s">
        <v>462</v>
      </c>
      <c r="D212" s="480" t="s">
        <v>897</v>
      </c>
    </row>
    <row r="213" spans="1:4" x14ac:dyDescent="0.15">
      <c r="A213" s="478">
        <f t="shared" si="6"/>
        <v>213</v>
      </c>
      <c r="B213" s="480" t="str">
        <f t="shared" si="7"/>
        <v xml:space="preserve">Restwaarde </v>
      </c>
      <c r="C213" s="480" t="s">
        <v>16</v>
      </c>
      <c r="D213" s="480" t="s">
        <v>703</v>
      </c>
    </row>
    <row r="214" spans="1:4" x14ac:dyDescent="0.15">
      <c r="A214" s="478">
        <f t="shared" si="6"/>
        <v>214</v>
      </c>
      <c r="B214" s="480" t="str">
        <f t="shared" si="7"/>
        <v>Productieve uren per jaar</v>
      </c>
      <c r="C214" s="480" t="s">
        <v>18</v>
      </c>
      <c r="D214" s="480" t="s">
        <v>704</v>
      </c>
    </row>
    <row r="215" spans="1:4" x14ac:dyDescent="0.15">
      <c r="A215" s="478">
        <f t="shared" si="6"/>
        <v>215</v>
      </c>
      <c r="B215" s="480" t="str">
        <f t="shared" si="7"/>
        <v>Kosten van reparaties</v>
      </c>
      <c r="C215" s="480" t="s">
        <v>21</v>
      </c>
      <c r="D215" s="480" t="s">
        <v>705</v>
      </c>
    </row>
    <row r="216" spans="1:4" x14ac:dyDescent="0.15">
      <c r="A216" s="478">
        <f t="shared" si="6"/>
        <v>216</v>
      </c>
      <c r="B216" s="480" t="str">
        <f t="shared" si="7"/>
        <v>Stilstand dagen per jaar</v>
      </c>
      <c r="C216" s="480" t="s">
        <v>465</v>
      </c>
      <c r="D216" s="480" t="s">
        <v>898</v>
      </c>
    </row>
    <row r="217" spans="1:4" x14ac:dyDescent="0.15">
      <c r="A217" s="478">
        <f t="shared" si="6"/>
        <v>217</v>
      </c>
      <c r="B217" s="480" t="str">
        <f t="shared" si="7"/>
        <v>Vermogen eigen oplaadsysteem (kW)</v>
      </c>
      <c r="C217" s="480" t="s">
        <v>29</v>
      </c>
      <c r="D217" s="480" t="s">
        <v>707</v>
      </c>
    </row>
    <row r="218" spans="1:4" x14ac:dyDescent="0.15">
      <c r="A218" s="478">
        <f t="shared" si="6"/>
        <v>218</v>
      </c>
      <c r="B218" s="480" t="str">
        <f t="shared" si="7"/>
        <v xml:space="preserve">Capaciteit vrachtwagenbatterij (kWh) </v>
      </c>
      <c r="C218" s="480" t="s">
        <v>30</v>
      </c>
      <c r="D218" s="480" t="s">
        <v>708</v>
      </c>
    </row>
    <row r="219" spans="1:4" x14ac:dyDescent="0.15">
      <c r="A219" s="478">
        <f t="shared" si="6"/>
        <v>219</v>
      </c>
      <c r="B219" s="480" t="str">
        <f t="shared" si="7"/>
        <v>Waterstof opslag tank (kg)</v>
      </c>
      <c r="C219" s="480" t="s">
        <v>31</v>
      </c>
      <c r="D219" s="480" t="s">
        <v>709</v>
      </c>
    </row>
    <row r="220" spans="1:4" x14ac:dyDescent="0.15">
      <c r="A220" s="478">
        <f t="shared" si="6"/>
        <v>220</v>
      </c>
      <c r="B220" s="480" t="str">
        <f t="shared" si="7"/>
        <v xml:space="preserve">Bruto aankoopprijs </v>
      </c>
      <c r="C220" s="480" t="s">
        <v>34</v>
      </c>
      <c r="D220" s="480" t="s">
        <v>711</v>
      </c>
    </row>
    <row r="221" spans="1:4" x14ac:dyDescent="0.15">
      <c r="A221" s="478">
        <f t="shared" si="6"/>
        <v>221</v>
      </c>
      <c r="B221" s="480" t="str">
        <f t="shared" si="7"/>
        <v>Subsidies</v>
      </c>
      <c r="C221" s="480" t="s">
        <v>463</v>
      </c>
      <c r="D221" s="480" t="s">
        <v>463</v>
      </c>
    </row>
    <row r="222" spans="1:4" x14ac:dyDescent="0.15">
      <c r="A222" s="478">
        <f t="shared" si="6"/>
        <v>222</v>
      </c>
      <c r="B222" s="480" t="str">
        <f t="shared" si="7"/>
        <v>Netto aankoopprijs</v>
      </c>
      <c r="C222" s="480" t="s">
        <v>38</v>
      </c>
      <c r="D222" s="480" t="s">
        <v>713</v>
      </c>
    </row>
    <row r="223" spans="1:4" ht="21" x14ac:dyDescent="0.15">
      <c r="A223" s="478">
        <f t="shared" si="6"/>
        <v>223</v>
      </c>
      <c r="B223" s="480" t="str">
        <f t="shared" si="7"/>
        <v>Netto kosten inkoop &amp; aanleg oplaadsysteem</v>
      </c>
      <c r="C223" s="480" t="s">
        <v>44</v>
      </c>
      <c r="D223" s="480" t="s">
        <v>716</v>
      </c>
    </row>
    <row r="224" spans="1:4" x14ac:dyDescent="0.15">
      <c r="A224" s="478">
        <f t="shared" si="6"/>
        <v>224</v>
      </c>
      <c r="B224" s="480" t="str">
        <f t="shared" si="7"/>
        <v>Basisprijs energie</v>
      </c>
      <c r="C224" s="480" t="s">
        <v>464</v>
      </c>
      <c r="D224" s="480" t="s">
        <v>899</v>
      </c>
    </row>
    <row r="225" spans="1:4" x14ac:dyDescent="0.15">
      <c r="A225" s="478">
        <f t="shared" si="6"/>
        <v>225</v>
      </c>
      <c r="B225" s="480" t="str">
        <f t="shared" si="7"/>
        <v>Outputs</v>
      </c>
      <c r="C225" s="93" t="s">
        <v>492</v>
      </c>
      <c r="D225" s="93" t="s">
        <v>492</v>
      </c>
    </row>
    <row r="226" spans="1:4" x14ac:dyDescent="0.15">
      <c r="A226" s="478">
        <f t="shared" si="6"/>
        <v>226</v>
      </c>
      <c r="B226" s="480" t="str">
        <f t="shared" si="7"/>
        <v>Scenario</v>
      </c>
      <c r="C226" s="480" t="s">
        <v>62</v>
      </c>
      <c r="D226" s="480" t="s">
        <v>62</v>
      </c>
    </row>
    <row r="227" spans="1:4" x14ac:dyDescent="0.15">
      <c r="A227" s="478">
        <f t="shared" si="6"/>
        <v>227</v>
      </c>
      <c r="B227" s="480" t="str">
        <f t="shared" si="7"/>
        <v>Scenario validiteit</v>
      </c>
      <c r="C227" s="480" t="s">
        <v>891</v>
      </c>
      <c r="D227" s="480" t="s">
        <v>900</v>
      </c>
    </row>
    <row r="228" spans="1:4" x14ac:dyDescent="0.15">
      <c r="A228" s="478">
        <f t="shared" si="6"/>
        <v>228</v>
      </c>
      <c r="B228" s="480" t="str">
        <f t="shared" si="7"/>
        <v>Voertuig</v>
      </c>
      <c r="C228" s="480" t="s">
        <v>467</v>
      </c>
      <c r="D228" s="480" t="s">
        <v>580</v>
      </c>
    </row>
    <row r="229" spans="1:4" x14ac:dyDescent="0.15">
      <c r="A229" s="478">
        <f t="shared" si="6"/>
        <v>229</v>
      </c>
      <c r="B229" s="480" t="str">
        <f t="shared" si="7"/>
        <v>Eigen oplaadsysteem</v>
      </c>
      <c r="C229" s="480" t="s">
        <v>66</v>
      </c>
      <c r="D229" s="480" t="s">
        <v>740</v>
      </c>
    </row>
    <row r="230" spans="1:4" x14ac:dyDescent="0.15">
      <c r="A230" s="478">
        <f t="shared" si="6"/>
        <v>230</v>
      </c>
      <c r="B230" s="480" t="str">
        <f t="shared" si="7"/>
        <v>Openbaar oplaadsysteem</v>
      </c>
      <c r="C230" s="480" t="s">
        <v>68</v>
      </c>
      <c r="D230" s="480" t="s">
        <v>741</v>
      </c>
    </row>
    <row r="231" spans="1:4" x14ac:dyDescent="0.15">
      <c r="A231" s="478">
        <f t="shared" si="6"/>
        <v>231</v>
      </c>
      <c r="B231" s="480" t="str">
        <f t="shared" si="7"/>
        <v>Percentage eigen oplaadsysteem</v>
      </c>
      <c r="C231" s="480" t="s">
        <v>69</v>
      </c>
      <c r="D231" s="480" t="s">
        <v>742</v>
      </c>
    </row>
    <row r="232" spans="1:4" ht="21" x14ac:dyDescent="0.15">
      <c r="A232" s="478">
        <f t="shared" si="6"/>
        <v>232</v>
      </c>
      <c r="B232" s="480" t="str">
        <f t="shared" si="7"/>
        <v>Percentage extern (openbaar) Oplaadsysteem</v>
      </c>
      <c r="C232" s="480" t="s">
        <v>493</v>
      </c>
      <c r="D232" s="480" t="s">
        <v>743</v>
      </c>
    </row>
    <row r="233" spans="1:4" x14ac:dyDescent="0.15">
      <c r="A233" s="478">
        <f t="shared" si="6"/>
        <v>233</v>
      </c>
      <c r="B233" s="480" t="str">
        <f t="shared" si="7"/>
        <v>Totale kosten per jaar</v>
      </c>
      <c r="C233" s="480" t="s">
        <v>71</v>
      </c>
      <c r="D233" s="480" t="s">
        <v>744</v>
      </c>
    </row>
    <row r="234" spans="1:4" x14ac:dyDescent="0.15">
      <c r="A234" s="478">
        <f t="shared" si="6"/>
        <v>234</v>
      </c>
      <c r="B234" s="480" t="str">
        <f t="shared" si="7"/>
        <v>Totale kosten per km</v>
      </c>
      <c r="C234" s="480" t="s">
        <v>72</v>
      </c>
      <c r="D234" s="480" t="s">
        <v>745</v>
      </c>
    </row>
    <row r="235" spans="1:4" x14ac:dyDescent="0.15">
      <c r="A235" s="478">
        <f t="shared" si="6"/>
        <v>235</v>
      </c>
      <c r="B235" s="480" t="str">
        <f t="shared" si="7"/>
        <v>Totale kosten per uur</v>
      </c>
      <c r="C235" s="480" t="s">
        <v>73</v>
      </c>
      <c r="D235" s="480" t="s">
        <v>746</v>
      </c>
    </row>
    <row r="236" spans="1:4" x14ac:dyDescent="0.15">
      <c r="A236" s="478">
        <f t="shared" si="6"/>
        <v>236</v>
      </c>
      <c r="B236" s="480" t="str">
        <f t="shared" si="7"/>
        <v>HBE Toepassen (J/N)</v>
      </c>
      <c r="C236" s="480" t="s">
        <v>52</v>
      </c>
      <c r="D236" s="480" t="s">
        <v>883</v>
      </c>
    </row>
    <row r="237" spans="1:4" x14ac:dyDescent="0.15">
      <c r="A237" s="478">
        <f t="shared" si="6"/>
        <v>237</v>
      </c>
      <c r="B237" s="480" t="str">
        <f t="shared" si="7"/>
        <v>Aantal HBE's</v>
      </c>
      <c r="C237" s="480" t="s">
        <v>55</v>
      </c>
      <c r="D237" s="480" t="s">
        <v>725</v>
      </c>
    </row>
    <row r="238" spans="1:4" x14ac:dyDescent="0.15">
      <c r="A238" s="478">
        <f t="shared" si="6"/>
        <v>238</v>
      </c>
      <c r="B238" s="480" t="str">
        <f t="shared" si="7"/>
        <v>Totale waarde HBE's</v>
      </c>
      <c r="C238" s="480" t="s">
        <v>60</v>
      </c>
      <c r="D238" s="480" t="s">
        <v>728</v>
      </c>
    </row>
    <row r="239" spans="1:4" ht="21" x14ac:dyDescent="0.15">
      <c r="A239" s="478">
        <f t="shared" si="6"/>
        <v>239</v>
      </c>
      <c r="B239" s="480" t="str">
        <f t="shared" si="7"/>
        <v>Emissies (totaal per jaar voor het geselecteerde voertuig)</v>
      </c>
      <c r="C239" s="480" t="s">
        <v>74</v>
      </c>
      <c r="D239" s="480" t="s">
        <v>747</v>
      </c>
    </row>
    <row r="240" spans="1:4" x14ac:dyDescent="0.15">
      <c r="A240" s="478">
        <f t="shared" si="6"/>
        <v>240</v>
      </c>
      <c r="B240" s="480" t="str">
        <f t="shared" si="7"/>
        <v>CO2 emissies (ton per jaar, WtW)</v>
      </c>
      <c r="C240" s="480" t="s">
        <v>75</v>
      </c>
      <c r="D240" s="480" t="s">
        <v>748</v>
      </c>
    </row>
    <row r="241" spans="1:4" x14ac:dyDescent="0.15">
      <c r="A241" s="478">
        <f t="shared" si="6"/>
        <v>241</v>
      </c>
      <c r="B241" s="480" t="str">
        <f t="shared" si="7"/>
        <v>PM totaal (kg per jaar, TtW)</v>
      </c>
      <c r="C241" s="480" t="s">
        <v>76</v>
      </c>
      <c r="D241" s="480" t="s">
        <v>749</v>
      </c>
    </row>
    <row r="242" spans="1:4" x14ac:dyDescent="0.15">
      <c r="A242" s="478">
        <f t="shared" si="6"/>
        <v>242</v>
      </c>
      <c r="B242" s="480" t="str">
        <f t="shared" si="7"/>
        <v>NOx (kg per jaar, TtW)</v>
      </c>
      <c r="C242" s="480" t="s">
        <v>77</v>
      </c>
      <c r="D242" s="480" t="s">
        <v>750</v>
      </c>
    </row>
    <row r="243" spans="1:4" x14ac:dyDescent="0.15">
      <c r="A243" s="478">
        <f t="shared" si="6"/>
        <v>243</v>
      </c>
      <c r="B243" s="480" t="str">
        <f t="shared" si="7"/>
        <v>Koeling</v>
      </c>
      <c r="C243" s="480" t="s">
        <v>906</v>
      </c>
      <c r="D243" s="480" t="s">
        <v>907</v>
      </c>
    </row>
    <row r="244" spans="1:4" ht="42" x14ac:dyDescent="0.15">
      <c r="A244" s="478">
        <f t="shared" si="6"/>
        <v>244</v>
      </c>
      <c r="B244" s="480" t="str">
        <f t="shared" si="7"/>
        <v>Een koeling is enkel relevant voor bakwagens. Voor trekkers worden daarom geen (energie)kosten voor koeling meegenomen.</v>
      </c>
      <c r="C244" s="480" t="s">
        <v>908</v>
      </c>
      <c r="D244" s="480" t="s">
        <v>909</v>
      </c>
    </row>
    <row r="245" spans="1:4" x14ac:dyDescent="0.15">
      <c r="A245" s="478">
        <f t="shared" si="6"/>
        <v>245</v>
      </c>
      <c r="B245" s="480" t="str">
        <f t="shared" si="7"/>
        <v>Koel unit</v>
      </c>
      <c r="C245" s="480" t="s">
        <v>911</v>
      </c>
      <c r="D245" s="480" t="s">
        <v>912</v>
      </c>
    </row>
    <row r="246" spans="1:4" x14ac:dyDescent="0.15">
      <c r="A246" s="478">
        <f t="shared" si="6"/>
        <v>246</v>
      </c>
      <c r="B246" s="480" t="str">
        <f t="shared" si="7"/>
        <v>Koel unit Kleine bakwagen</v>
      </c>
      <c r="C246" s="480" t="s">
        <v>913</v>
      </c>
      <c r="D246" s="480" t="s">
        <v>916</v>
      </c>
    </row>
    <row r="247" spans="1:4" x14ac:dyDescent="0.15">
      <c r="A247" s="478">
        <f t="shared" si="6"/>
        <v>247</v>
      </c>
      <c r="B247" s="480" t="str">
        <f t="shared" si="7"/>
        <v>Koel unit Medium bakwagen</v>
      </c>
      <c r="C247" s="480" t="s">
        <v>914</v>
      </c>
      <c r="D247" s="480" t="s">
        <v>917</v>
      </c>
    </row>
    <row r="248" spans="1:4" x14ac:dyDescent="0.15">
      <c r="A248" s="478">
        <f t="shared" si="6"/>
        <v>248</v>
      </c>
      <c r="B248" s="480" t="str">
        <f t="shared" si="7"/>
        <v>Koel unit Grote bakwagen</v>
      </c>
      <c r="C248" s="480" t="s">
        <v>915</v>
      </c>
      <c r="D248" s="480" t="s">
        <v>918</v>
      </c>
    </row>
    <row r="249" spans="1:4" x14ac:dyDescent="0.15">
      <c r="A249" s="478">
        <f t="shared" si="6"/>
        <v>249</v>
      </c>
      <c r="B249" s="480" t="str">
        <f t="shared" si="7"/>
        <v>Pas batterijtype aan</v>
      </c>
      <c r="C249" s="480" t="s">
        <v>919</v>
      </c>
      <c r="D249" s="480" t="s">
        <v>920</v>
      </c>
    </row>
    <row r="250" spans="1:4" x14ac:dyDescent="0.15">
      <c r="A250" s="478">
        <f t="shared" si="6"/>
        <v>250</v>
      </c>
      <c r="B250" s="480">
        <f t="shared" si="7"/>
        <v>0</v>
      </c>
      <c r="C250" s="480"/>
      <c r="D250" s="480"/>
    </row>
    <row r="251" spans="1:4" x14ac:dyDescent="0.15">
      <c r="A251" s="478">
        <f t="shared" si="6"/>
        <v>251</v>
      </c>
      <c r="B251" s="480">
        <f t="shared" si="7"/>
        <v>0</v>
      </c>
      <c r="C251" s="480"/>
      <c r="D251" s="480"/>
    </row>
    <row r="252" spans="1:4" x14ac:dyDescent="0.15">
      <c r="A252" s="478">
        <f t="shared" si="6"/>
        <v>252</v>
      </c>
      <c r="B252" s="480">
        <f t="shared" si="7"/>
        <v>0</v>
      </c>
      <c r="C252" s="480"/>
      <c r="D252" s="480"/>
    </row>
    <row r="253" spans="1:4" x14ac:dyDescent="0.15">
      <c r="A253" s="478">
        <f t="shared" si="6"/>
        <v>253</v>
      </c>
      <c r="B253" s="480">
        <f t="shared" si="7"/>
        <v>0</v>
      </c>
      <c r="C253" s="480"/>
      <c r="D253" s="480"/>
    </row>
    <row r="254" spans="1:4" x14ac:dyDescent="0.15">
      <c r="A254" s="478">
        <f t="shared" ref="A254:A317" si="8">+A253+1</f>
        <v>254</v>
      </c>
      <c r="B254" s="480">
        <f t="shared" si="7"/>
        <v>0</v>
      </c>
      <c r="C254" s="480"/>
      <c r="D254" s="480"/>
    </row>
    <row r="255" spans="1:4" x14ac:dyDescent="0.15">
      <c r="A255" s="478">
        <f t="shared" si="8"/>
        <v>255</v>
      </c>
      <c r="B255" s="480">
        <f t="shared" si="7"/>
        <v>0</v>
      </c>
      <c r="C255" s="480"/>
      <c r="D255" s="480"/>
    </row>
    <row r="256" spans="1:4" x14ac:dyDescent="0.15">
      <c r="A256" s="478">
        <f t="shared" si="8"/>
        <v>256</v>
      </c>
      <c r="B256" s="480">
        <f t="shared" si="7"/>
        <v>0</v>
      </c>
      <c r="C256" s="480"/>
      <c r="D256" s="480"/>
    </row>
    <row r="257" spans="1:4" x14ac:dyDescent="0.15">
      <c r="A257" s="478">
        <f t="shared" si="8"/>
        <v>257</v>
      </c>
      <c r="B257" s="480">
        <f t="shared" si="7"/>
        <v>0</v>
      </c>
      <c r="C257" s="480"/>
      <c r="D257" s="480"/>
    </row>
    <row r="258" spans="1:4" x14ac:dyDescent="0.15">
      <c r="A258" s="478">
        <f t="shared" si="8"/>
        <v>258</v>
      </c>
      <c r="B258" s="480">
        <f t="shared" ref="B258:B321" si="9">+HLOOKUP($B$1,$C$1:$D$505,$A258,0)</f>
        <v>0</v>
      </c>
      <c r="C258" s="480"/>
      <c r="D258" s="480"/>
    </row>
    <row r="259" spans="1:4" x14ac:dyDescent="0.15">
      <c r="A259" s="478">
        <f t="shared" si="8"/>
        <v>259</v>
      </c>
      <c r="B259" s="480">
        <f t="shared" si="9"/>
        <v>0</v>
      </c>
      <c r="C259" s="480"/>
      <c r="D259" s="480"/>
    </row>
    <row r="260" spans="1:4" x14ac:dyDescent="0.15">
      <c r="A260" s="478">
        <f t="shared" si="8"/>
        <v>260</v>
      </c>
      <c r="B260" s="480">
        <f t="shared" si="9"/>
        <v>0</v>
      </c>
      <c r="C260" s="480"/>
      <c r="D260" s="480"/>
    </row>
    <row r="261" spans="1:4" x14ac:dyDescent="0.15">
      <c r="A261" s="478">
        <f t="shared" si="8"/>
        <v>261</v>
      </c>
      <c r="B261" s="480">
        <f t="shared" si="9"/>
        <v>0</v>
      </c>
      <c r="C261" s="480"/>
      <c r="D261" s="480"/>
    </row>
    <row r="262" spans="1:4" x14ac:dyDescent="0.15">
      <c r="A262" s="478">
        <f t="shared" si="8"/>
        <v>262</v>
      </c>
      <c r="B262" s="480">
        <f t="shared" si="9"/>
        <v>0</v>
      </c>
      <c r="C262" s="480"/>
      <c r="D262" s="480"/>
    </row>
    <row r="263" spans="1:4" x14ac:dyDescent="0.15">
      <c r="A263" s="478">
        <f t="shared" si="8"/>
        <v>263</v>
      </c>
      <c r="B263" s="480">
        <f t="shared" si="9"/>
        <v>0</v>
      </c>
      <c r="C263" s="480"/>
      <c r="D263" s="480"/>
    </row>
    <row r="264" spans="1:4" x14ac:dyDescent="0.15">
      <c r="A264" s="478">
        <f t="shared" si="8"/>
        <v>264</v>
      </c>
      <c r="B264" s="480">
        <f t="shared" si="9"/>
        <v>0</v>
      </c>
      <c r="C264" s="480"/>
      <c r="D264" s="480"/>
    </row>
    <row r="265" spans="1:4" x14ac:dyDescent="0.15">
      <c r="A265" s="478">
        <f t="shared" si="8"/>
        <v>265</v>
      </c>
      <c r="B265" s="480">
        <f t="shared" si="9"/>
        <v>0</v>
      </c>
      <c r="C265" s="480"/>
      <c r="D265" s="480"/>
    </row>
    <row r="266" spans="1:4" x14ac:dyDescent="0.15">
      <c r="A266" s="478">
        <f t="shared" si="8"/>
        <v>266</v>
      </c>
      <c r="B266" s="480">
        <f t="shared" si="9"/>
        <v>0</v>
      </c>
      <c r="C266" s="480"/>
      <c r="D266" s="480"/>
    </row>
    <row r="267" spans="1:4" x14ac:dyDescent="0.15">
      <c r="A267" s="478">
        <f t="shared" si="8"/>
        <v>267</v>
      </c>
      <c r="B267" s="480">
        <f t="shared" si="9"/>
        <v>0</v>
      </c>
      <c r="C267" s="480"/>
      <c r="D267" s="480"/>
    </row>
    <row r="268" spans="1:4" x14ac:dyDescent="0.15">
      <c r="A268" s="478">
        <f t="shared" si="8"/>
        <v>268</v>
      </c>
      <c r="B268" s="480">
        <f t="shared" si="9"/>
        <v>0</v>
      </c>
      <c r="C268" s="480"/>
      <c r="D268" s="480"/>
    </row>
    <row r="269" spans="1:4" x14ac:dyDescent="0.15">
      <c r="A269" s="478">
        <f t="shared" si="8"/>
        <v>269</v>
      </c>
      <c r="B269" s="480">
        <f t="shared" si="9"/>
        <v>0</v>
      </c>
      <c r="C269" s="480"/>
      <c r="D269" s="480"/>
    </row>
    <row r="270" spans="1:4" x14ac:dyDescent="0.15">
      <c r="A270" s="478">
        <f t="shared" si="8"/>
        <v>270</v>
      </c>
      <c r="B270" s="480">
        <f t="shared" si="9"/>
        <v>0</v>
      </c>
      <c r="C270" s="480"/>
      <c r="D270" s="480"/>
    </row>
    <row r="271" spans="1:4" x14ac:dyDescent="0.15">
      <c r="A271" s="478">
        <f t="shared" si="8"/>
        <v>271</v>
      </c>
      <c r="B271" s="480">
        <f t="shared" si="9"/>
        <v>0</v>
      </c>
      <c r="C271" s="480"/>
      <c r="D271" s="480"/>
    </row>
    <row r="272" spans="1:4" x14ac:dyDescent="0.15">
      <c r="A272" s="478">
        <f t="shared" si="8"/>
        <v>272</v>
      </c>
      <c r="B272" s="480">
        <f t="shared" si="9"/>
        <v>0</v>
      </c>
      <c r="C272" s="480"/>
      <c r="D272" s="480"/>
    </row>
    <row r="273" spans="1:4" x14ac:dyDescent="0.15">
      <c r="A273" s="478">
        <f t="shared" si="8"/>
        <v>273</v>
      </c>
      <c r="B273" s="480">
        <f t="shared" si="9"/>
        <v>0</v>
      </c>
      <c r="C273" s="480"/>
      <c r="D273" s="480"/>
    </row>
    <row r="274" spans="1:4" x14ac:dyDescent="0.15">
      <c r="A274" s="478">
        <f t="shared" si="8"/>
        <v>274</v>
      </c>
      <c r="B274" s="480">
        <f t="shared" si="9"/>
        <v>0</v>
      </c>
      <c r="C274" s="480"/>
      <c r="D274" s="480"/>
    </row>
    <row r="275" spans="1:4" x14ac:dyDescent="0.15">
      <c r="A275" s="478">
        <f t="shared" si="8"/>
        <v>275</v>
      </c>
      <c r="B275" s="480">
        <f t="shared" si="9"/>
        <v>0</v>
      </c>
      <c r="C275" s="480"/>
      <c r="D275" s="480"/>
    </row>
    <row r="276" spans="1:4" x14ac:dyDescent="0.15">
      <c r="A276" s="478">
        <f t="shared" si="8"/>
        <v>276</v>
      </c>
      <c r="B276" s="480">
        <f t="shared" si="9"/>
        <v>0</v>
      </c>
      <c r="C276" s="480"/>
      <c r="D276" s="480"/>
    </row>
    <row r="277" spans="1:4" x14ac:dyDescent="0.15">
      <c r="A277" s="478">
        <f t="shared" si="8"/>
        <v>277</v>
      </c>
      <c r="B277" s="480">
        <f t="shared" si="9"/>
        <v>0</v>
      </c>
      <c r="C277" s="480"/>
      <c r="D277" s="480"/>
    </row>
    <row r="278" spans="1:4" x14ac:dyDescent="0.15">
      <c r="A278" s="478">
        <f t="shared" si="8"/>
        <v>278</v>
      </c>
      <c r="B278" s="480">
        <f t="shared" si="9"/>
        <v>0</v>
      </c>
      <c r="C278" s="480"/>
      <c r="D278" s="480"/>
    </row>
    <row r="279" spans="1:4" x14ac:dyDescent="0.15">
      <c r="A279" s="478">
        <f t="shared" si="8"/>
        <v>279</v>
      </c>
      <c r="B279" s="480">
        <f t="shared" si="9"/>
        <v>0</v>
      </c>
      <c r="C279" s="480"/>
      <c r="D279" s="480"/>
    </row>
    <row r="280" spans="1:4" x14ac:dyDescent="0.15">
      <c r="A280" s="478">
        <f t="shared" si="8"/>
        <v>280</v>
      </c>
      <c r="B280" s="480">
        <f t="shared" si="9"/>
        <v>0</v>
      </c>
      <c r="C280" s="480"/>
      <c r="D280" s="480"/>
    </row>
    <row r="281" spans="1:4" x14ac:dyDescent="0.15">
      <c r="A281" s="478">
        <f t="shared" si="8"/>
        <v>281</v>
      </c>
      <c r="B281" s="480">
        <f t="shared" si="9"/>
        <v>0</v>
      </c>
      <c r="C281" s="480"/>
      <c r="D281" s="480"/>
    </row>
    <row r="282" spans="1:4" x14ac:dyDescent="0.15">
      <c r="A282" s="478">
        <f t="shared" si="8"/>
        <v>282</v>
      </c>
      <c r="B282" s="480">
        <f t="shared" si="9"/>
        <v>0</v>
      </c>
      <c r="C282" s="480"/>
      <c r="D282" s="480"/>
    </row>
    <row r="283" spans="1:4" x14ac:dyDescent="0.15">
      <c r="A283" s="478">
        <f t="shared" si="8"/>
        <v>283</v>
      </c>
      <c r="B283" s="480">
        <f t="shared" si="9"/>
        <v>0</v>
      </c>
      <c r="C283" s="480"/>
      <c r="D283" s="480"/>
    </row>
    <row r="284" spans="1:4" x14ac:dyDescent="0.15">
      <c r="A284" s="478">
        <f t="shared" si="8"/>
        <v>284</v>
      </c>
      <c r="B284" s="480">
        <f t="shared" si="9"/>
        <v>0</v>
      </c>
      <c r="C284" s="480"/>
      <c r="D284" s="480"/>
    </row>
    <row r="285" spans="1:4" x14ac:dyDescent="0.15">
      <c r="A285" s="478">
        <f t="shared" si="8"/>
        <v>285</v>
      </c>
      <c r="B285" s="480">
        <f t="shared" si="9"/>
        <v>0</v>
      </c>
      <c r="C285" s="480"/>
      <c r="D285" s="480"/>
    </row>
    <row r="286" spans="1:4" x14ac:dyDescent="0.15">
      <c r="A286" s="478">
        <f t="shared" si="8"/>
        <v>286</v>
      </c>
      <c r="B286" s="480">
        <f t="shared" si="9"/>
        <v>0</v>
      </c>
      <c r="C286" s="480"/>
      <c r="D286" s="480"/>
    </row>
    <row r="287" spans="1:4" x14ac:dyDescent="0.15">
      <c r="A287" s="478">
        <f t="shared" si="8"/>
        <v>287</v>
      </c>
      <c r="B287" s="480">
        <f t="shared" si="9"/>
        <v>0</v>
      </c>
      <c r="C287" s="480"/>
      <c r="D287" s="480"/>
    </row>
    <row r="288" spans="1:4" x14ac:dyDescent="0.15">
      <c r="A288" s="478">
        <f t="shared" si="8"/>
        <v>288</v>
      </c>
      <c r="B288" s="480">
        <f t="shared" si="9"/>
        <v>0</v>
      </c>
      <c r="C288" s="480"/>
      <c r="D288" s="480"/>
    </row>
    <row r="289" spans="1:4" x14ac:dyDescent="0.15">
      <c r="A289" s="478">
        <f t="shared" si="8"/>
        <v>289</v>
      </c>
      <c r="B289" s="480">
        <f t="shared" si="9"/>
        <v>0</v>
      </c>
      <c r="C289" s="480"/>
      <c r="D289" s="480"/>
    </row>
    <row r="290" spans="1:4" x14ac:dyDescent="0.15">
      <c r="A290" s="478">
        <f t="shared" si="8"/>
        <v>290</v>
      </c>
      <c r="B290" s="480">
        <f t="shared" si="9"/>
        <v>0</v>
      </c>
      <c r="C290" s="480"/>
      <c r="D290" s="480"/>
    </row>
    <row r="291" spans="1:4" x14ac:dyDescent="0.15">
      <c r="A291" s="478">
        <f t="shared" si="8"/>
        <v>291</v>
      </c>
      <c r="B291" s="480">
        <f t="shared" si="9"/>
        <v>0</v>
      </c>
      <c r="C291" s="480"/>
      <c r="D291" s="480"/>
    </row>
    <row r="292" spans="1:4" x14ac:dyDescent="0.15">
      <c r="A292" s="478">
        <f t="shared" si="8"/>
        <v>292</v>
      </c>
      <c r="B292" s="480">
        <f t="shared" si="9"/>
        <v>0</v>
      </c>
      <c r="C292" s="480"/>
      <c r="D292" s="480"/>
    </row>
    <row r="293" spans="1:4" x14ac:dyDescent="0.15">
      <c r="A293" s="478">
        <f t="shared" si="8"/>
        <v>293</v>
      </c>
      <c r="B293" s="480">
        <f t="shared" si="9"/>
        <v>0</v>
      </c>
      <c r="C293" s="480"/>
      <c r="D293" s="480"/>
    </row>
    <row r="294" spans="1:4" x14ac:dyDescent="0.15">
      <c r="A294" s="478">
        <f t="shared" si="8"/>
        <v>294</v>
      </c>
      <c r="B294" s="480">
        <f t="shared" si="9"/>
        <v>0</v>
      </c>
      <c r="C294" s="480"/>
      <c r="D294" s="480"/>
    </row>
    <row r="295" spans="1:4" x14ac:dyDescent="0.15">
      <c r="A295" s="478">
        <f t="shared" si="8"/>
        <v>295</v>
      </c>
      <c r="B295" s="480">
        <f t="shared" si="9"/>
        <v>0</v>
      </c>
      <c r="C295" s="480"/>
      <c r="D295" s="480"/>
    </row>
    <row r="296" spans="1:4" x14ac:dyDescent="0.15">
      <c r="A296" s="478">
        <f t="shared" si="8"/>
        <v>296</v>
      </c>
      <c r="B296" s="480">
        <f t="shared" si="9"/>
        <v>0</v>
      </c>
      <c r="C296" s="480"/>
      <c r="D296" s="480"/>
    </row>
    <row r="297" spans="1:4" x14ac:dyDescent="0.15">
      <c r="A297" s="478">
        <f t="shared" si="8"/>
        <v>297</v>
      </c>
      <c r="B297" s="480">
        <f t="shared" si="9"/>
        <v>0</v>
      </c>
      <c r="C297" s="480"/>
      <c r="D297" s="480"/>
    </row>
    <row r="298" spans="1:4" x14ac:dyDescent="0.15">
      <c r="A298" s="478">
        <f t="shared" si="8"/>
        <v>298</v>
      </c>
      <c r="B298" s="480">
        <f t="shared" si="9"/>
        <v>0</v>
      </c>
      <c r="C298" s="480"/>
      <c r="D298" s="480"/>
    </row>
    <row r="299" spans="1:4" x14ac:dyDescent="0.15">
      <c r="A299" s="478">
        <f t="shared" si="8"/>
        <v>299</v>
      </c>
      <c r="B299" s="480">
        <f t="shared" si="9"/>
        <v>0</v>
      </c>
      <c r="C299" s="480"/>
      <c r="D299" s="480"/>
    </row>
    <row r="300" spans="1:4" x14ac:dyDescent="0.15">
      <c r="A300" s="478">
        <f t="shared" si="8"/>
        <v>300</v>
      </c>
      <c r="B300" s="480">
        <f t="shared" si="9"/>
        <v>0</v>
      </c>
      <c r="C300" s="480"/>
      <c r="D300" s="480"/>
    </row>
    <row r="301" spans="1:4" x14ac:dyDescent="0.15">
      <c r="A301" s="478">
        <f t="shared" si="8"/>
        <v>301</v>
      </c>
      <c r="B301" s="480">
        <f t="shared" si="9"/>
        <v>0</v>
      </c>
      <c r="C301" s="480"/>
      <c r="D301" s="480"/>
    </row>
    <row r="302" spans="1:4" x14ac:dyDescent="0.15">
      <c r="A302" s="478">
        <f t="shared" si="8"/>
        <v>302</v>
      </c>
      <c r="B302" s="480">
        <f t="shared" si="9"/>
        <v>0</v>
      </c>
      <c r="C302" s="480"/>
      <c r="D302" s="480"/>
    </row>
    <row r="303" spans="1:4" x14ac:dyDescent="0.15">
      <c r="A303" s="478">
        <f t="shared" si="8"/>
        <v>303</v>
      </c>
      <c r="B303" s="480">
        <f t="shared" si="9"/>
        <v>0</v>
      </c>
      <c r="C303" s="480"/>
      <c r="D303" s="480"/>
    </row>
    <row r="304" spans="1:4" x14ac:dyDescent="0.15">
      <c r="A304" s="478">
        <f t="shared" si="8"/>
        <v>304</v>
      </c>
      <c r="B304" s="480">
        <f t="shared" si="9"/>
        <v>0</v>
      </c>
      <c r="C304" s="480"/>
      <c r="D304" s="480"/>
    </row>
    <row r="305" spans="1:4" x14ac:dyDescent="0.15">
      <c r="A305" s="478">
        <f t="shared" si="8"/>
        <v>305</v>
      </c>
      <c r="B305" s="480">
        <f t="shared" si="9"/>
        <v>0</v>
      </c>
      <c r="C305" s="480"/>
      <c r="D305" s="480"/>
    </row>
    <row r="306" spans="1:4" x14ac:dyDescent="0.15">
      <c r="A306" s="478">
        <f t="shared" si="8"/>
        <v>306</v>
      </c>
      <c r="B306" s="480">
        <f t="shared" si="9"/>
        <v>0</v>
      </c>
      <c r="C306" s="480"/>
      <c r="D306" s="480"/>
    </row>
    <row r="307" spans="1:4" x14ac:dyDescent="0.15">
      <c r="A307" s="478">
        <f t="shared" si="8"/>
        <v>307</v>
      </c>
      <c r="B307" s="480">
        <f t="shared" si="9"/>
        <v>0</v>
      </c>
      <c r="C307" s="480"/>
      <c r="D307" s="480"/>
    </row>
    <row r="308" spans="1:4" x14ac:dyDescent="0.15">
      <c r="A308" s="478">
        <f t="shared" si="8"/>
        <v>308</v>
      </c>
      <c r="B308" s="480">
        <f t="shared" si="9"/>
        <v>0</v>
      </c>
      <c r="C308" s="480"/>
      <c r="D308" s="480"/>
    </row>
    <row r="309" spans="1:4" x14ac:dyDescent="0.15">
      <c r="A309" s="478">
        <f t="shared" si="8"/>
        <v>309</v>
      </c>
      <c r="B309" s="480">
        <f t="shared" si="9"/>
        <v>0</v>
      </c>
      <c r="C309" s="480"/>
      <c r="D309" s="480"/>
    </row>
    <row r="310" spans="1:4" x14ac:dyDescent="0.15">
      <c r="A310" s="478">
        <f t="shared" si="8"/>
        <v>310</v>
      </c>
      <c r="B310" s="480">
        <f t="shared" si="9"/>
        <v>0</v>
      </c>
      <c r="C310" s="480"/>
      <c r="D310" s="480"/>
    </row>
    <row r="311" spans="1:4" x14ac:dyDescent="0.15">
      <c r="A311" s="478">
        <f t="shared" si="8"/>
        <v>311</v>
      </c>
      <c r="B311" s="480">
        <f t="shared" si="9"/>
        <v>0</v>
      </c>
      <c r="C311" s="480"/>
      <c r="D311" s="480"/>
    </row>
    <row r="312" spans="1:4" x14ac:dyDescent="0.15">
      <c r="A312" s="478">
        <f t="shared" si="8"/>
        <v>312</v>
      </c>
      <c r="B312" s="480">
        <f t="shared" si="9"/>
        <v>0</v>
      </c>
      <c r="C312" s="480"/>
      <c r="D312" s="480"/>
    </row>
    <row r="313" spans="1:4" x14ac:dyDescent="0.15">
      <c r="A313" s="478">
        <f t="shared" si="8"/>
        <v>313</v>
      </c>
      <c r="B313" s="480">
        <f t="shared" si="9"/>
        <v>0</v>
      </c>
      <c r="C313" s="480"/>
      <c r="D313" s="480"/>
    </row>
    <row r="314" spans="1:4" x14ac:dyDescent="0.15">
      <c r="A314" s="478">
        <f t="shared" si="8"/>
        <v>314</v>
      </c>
      <c r="B314" s="480">
        <f t="shared" si="9"/>
        <v>0</v>
      </c>
      <c r="C314" s="480"/>
      <c r="D314" s="480"/>
    </row>
    <row r="315" spans="1:4" x14ac:dyDescent="0.15">
      <c r="A315" s="478">
        <f t="shared" si="8"/>
        <v>315</v>
      </c>
      <c r="B315" s="480">
        <f t="shared" si="9"/>
        <v>0</v>
      </c>
      <c r="C315" s="480"/>
      <c r="D315" s="480"/>
    </row>
    <row r="316" spans="1:4" x14ac:dyDescent="0.15">
      <c r="A316" s="478">
        <f t="shared" si="8"/>
        <v>316</v>
      </c>
      <c r="B316" s="480">
        <f t="shared" si="9"/>
        <v>0</v>
      </c>
      <c r="C316" s="480"/>
      <c r="D316" s="480"/>
    </row>
    <row r="317" spans="1:4" x14ac:dyDescent="0.15">
      <c r="A317" s="478">
        <f t="shared" si="8"/>
        <v>317</v>
      </c>
      <c r="B317" s="480">
        <f t="shared" si="9"/>
        <v>0</v>
      </c>
      <c r="C317" s="480"/>
      <c r="D317" s="480"/>
    </row>
    <row r="318" spans="1:4" x14ac:dyDescent="0.15">
      <c r="A318" s="478">
        <f t="shared" ref="A318:A381" si="10">+A317+1</f>
        <v>318</v>
      </c>
      <c r="B318" s="480">
        <f t="shared" si="9"/>
        <v>0</v>
      </c>
      <c r="C318" s="480"/>
      <c r="D318" s="480"/>
    </row>
    <row r="319" spans="1:4" x14ac:dyDescent="0.15">
      <c r="A319" s="478">
        <f t="shared" si="10"/>
        <v>319</v>
      </c>
      <c r="B319" s="480">
        <f t="shared" si="9"/>
        <v>0</v>
      </c>
      <c r="C319" s="480"/>
      <c r="D319" s="480"/>
    </row>
    <row r="320" spans="1:4" x14ac:dyDescent="0.15">
      <c r="A320" s="478">
        <f t="shared" si="10"/>
        <v>320</v>
      </c>
      <c r="B320" s="480">
        <f t="shared" si="9"/>
        <v>0</v>
      </c>
      <c r="C320" s="480"/>
      <c r="D320" s="480"/>
    </row>
    <row r="321" spans="1:4" x14ac:dyDescent="0.15">
      <c r="A321" s="478">
        <f t="shared" si="10"/>
        <v>321</v>
      </c>
      <c r="B321" s="480">
        <f t="shared" si="9"/>
        <v>0</v>
      </c>
      <c r="C321" s="480"/>
      <c r="D321" s="480"/>
    </row>
    <row r="322" spans="1:4" x14ac:dyDescent="0.15">
      <c r="A322" s="478">
        <f t="shared" si="10"/>
        <v>322</v>
      </c>
      <c r="B322" s="480">
        <f t="shared" ref="B322:B385" si="11">+HLOOKUP($B$1,$C$1:$D$505,$A322,0)</f>
        <v>0</v>
      </c>
      <c r="C322" s="480"/>
      <c r="D322" s="480"/>
    </row>
    <row r="323" spans="1:4" x14ac:dyDescent="0.15">
      <c r="A323" s="478">
        <f t="shared" si="10"/>
        <v>323</v>
      </c>
      <c r="B323" s="480">
        <f t="shared" si="11"/>
        <v>0</v>
      </c>
      <c r="C323" s="480"/>
      <c r="D323" s="480"/>
    </row>
    <row r="324" spans="1:4" x14ac:dyDescent="0.15">
      <c r="A324" s="478">
        <f t="shared" si="10"/>
        <v>324</v>
      </c>
      <c r="B324" s="480">
        <f t="shared" si="11"/>
        <v>0</v>
      </c>
      <c r="C324" s="480"/>
      <c r="D324" s="480"/>
    </row>
    <row r="325" spans="1:4" x14ac:dyDescent="0.15">
      <c r="A325" s="478">
        <f t="shared" si="10"/>
        <v>325</v>
      </c>
      <c r="B325" s="480">
        <f t="shared" si="11"/>
        <v>0</v>
      </c>
      <c r="C325" s="480"/>
      <c r="D325" s="480"/>
    </row>
    <row r="326" spans="1:4" x14ac:dyDescent="0.15">
      <c r="A326" s="478">
        <f t="shared" si="10"/>
        <v>326</v>
      </c>
      <c r="B326" s="480">
        <f t="shared" si="11"/>
        <v>0</v>
      </c>
      <c r="C326" s="480"/>
      <c r="D326" s="480"/>
    </row>
    <row r="327" spans="1:4" x14ac:dyDescent="0.15">
      <c r="A327" s="478">
        <f t="shared" si="10"/>
        <v>327</v>
      </c>
      <c r="B327" s="480">
        <f t="shared" si="11"/>
        <v>0</v>
      </c>
      <c r="C327" s="480"/>
      <c r="D327" s="480"/>
    </row>
    <row r="328" spans="1:4" x14ac:dyDescent="0.15">
      <c r="A328" s="478">
        <f t="shared" si="10"/>
        <v>328</v>
      </c>
      <c r="B328" s="480">
        <f t="shared" si="11"/>
        <v>0</v>
      </c>
      <c r="C328" s="480"/>
      <c r="D328" s="480"/>
    </row>
    <row r="329" spans="1:4" x14ac:dyDescent="0.15">
      <c r="A329" s="478">
        <f t="shared" si="10"/>
        <v>329</v>
      </c>
      <c r="B329" s="480">
        <f t="shared" si="11"/>
        <v>0</v>
      </c>
      <c r="C329" s="480"/>
      <c r="D329" s="480"/>
    </row>
    <row r="330" spans="1:4" x14ac:dyDescent="0.15">
      <c r="A330" s="478">
        <f t="shared" si="10"/>
        <v>330</v>
      </c>
      <c r="B330" s="480">
        <f t="shared" si="11"/>
        <v>0</v>
      </c>
      <c r="C330" s="480"/>
      <c r="D330" s="480"/>
    </row>
    <row r="331" spans="1:4" x14ac:dyDescent="0.15">
      <c r="A331" s="478">
        <f t="shared" si="10"/>
        <v>331</v>
      </c>
      <c r="B331" s="480">
        <f t="shared" si="11"/>
        <v>0</v>
      </c>
      <c r="C331" s="480"/>
      <c r="D331" s="480"/>
    </row>
    <row r="332" spans="1:4" x14ac:dyDescent="0.15">
      <c r="A332" s="478">
        <f t="shared" si="10"/>
        <v>332</v>
      </c>
      <c r="B332" s="480">
        <f t="shared" si="11"/>
        <v>0</v>
      </c>
      <c r="C332" s="480"/>
      <c r="D332" s="480"/>
    </row>
    <row r="333" spans="1:4" x14ac:dyDescent="0.15">
      <c r="A333" s="478">
        <f t="shared" si="10"/>
        <v>333</v>
      </c>
      <c r="B333" s="480">
        <f t="shared" si="11"/>
        <v>0</v>
      </c>
      <c r="C333" s="480"/>
      <c r="D333" s="480"/>
    </row>
    <row r="334" spans="1:4" x14ac:dyDescent="0.15">
      <c r="A334" s="478">
        <f t="shared" si="10"/>
        <v>334</v>
      </c>
      <c r="B334" s="480">
        <f t="shared" si="11"/>
        <v>0</v>
      </c>
      <c r="C334" s="480"/>
      <c r="D334" s="480"/>
    </row>
    <row r="335" spans="1:4" x14ac:dyDescent="0.15">
      <c r="A335" s="478">
        <f t="shared" si="10"/>
        <v>335</v>
      </c>
      <c r="B335" s="480">
        <f t="shared" si="11"/>
        <v>0</v>
      </c>
      <c r="C335" s="480"/>
      <c r="D335" s="480"/>
    </row>
    <row r="336" spans="1:4" x14ac:dyDescent="0.15">
      <c r="A336" s="478">
        <f t="shared" si="10"/>
        <v>336</v>
      </c>
      <c r="B336" s="480">
        <f t="shared" si="11"/>
        <v>0</v>
      </c>
      <c r="C336" s="480"/>
      <c r="D336" s="480"/>
    </row>
    <row r="337" spans="1:4" x14ac:dyDescent="0.15">
      <c r="A337" s="478">
        <f t="shared" si="10"/>
        <v>337</v>
      </c>
      <c r="B337" s="480">
        <f t="shared" si="11"/>
        <v>0</v>
      </c>
      <c r="C337" s="480"/>
      <c r="D337" s="480"/>
    </row>
    <row r="338" spans="1:4" x14ac:dyDescent="0.15">
      <c r="A338" s="478">
        <f t="shared" si="10"/>
        <v>338</v>
      </c>
      <c r="B338" s="480">
        <f t="shared" si="11"/>
        <v>0</v>
      </c>
      <c r="C338" s="480"/>
      <c r="D338" s="480"/>
    </row>
    <row r="339" spans="1:4" x14ac:dyDescent="0.15">
      <c r="A339" s="478">
        <f t="shared" si="10"/>
        <v>339</v>
      </c>
      <c r="B339" s="480">
        <f t="shared" si="11"/>
        <v>0</v>
      </c>
      <c r="C339" s="480"/>
      <c r="D339" s="480"/>
    </row>
    <row r="340" spans="1:4" x14ac:dyDescent="0.15">
      <c r="A340" s="478">
        <f t="shared" si="10"/>
        <v>340</v>
      </c>
      <c r="B340" s="480">
        <f t="shared" si="11"/>
        <v>0</v>
      </c>
      <c r="C340" s="480"/>
      <c r="D340" s="480"/>
    </row>
    <row r="341" spans="1:4" x14ac:dyDescent="0.15">
      <c r="A341" s="478">
        <f t="shared" si="10"/>
        <v>341</v>
      </c>
      <c r="B341" s="480">
        <f t="shared" si="11"/>
        <v>0</v>
      </c>
      <c r="C341" s="480"/>
      <c r="D341" s="480"/>
    </row>
    <row r="342" spans="1:4" x14ac:dyDescent="0.15">
      <c r="A342" s="478">
        <f t="shared" si="10"/>
        <v>342</v>
      </c>
      <c r="B342" s="480">
        <f t="shared" si="11"/>
        <v>0</v>
      </c>
      <c r="C342" s="480"/>
      <c r="D342" s="480"/>
    </row>
    <row r="343" spans="1:4" x14ac:dyDescent="0.15">
      <c r="A343" s="478">
        <f t="shared" si="10"/>
        <v>343</v>
      </c>
      <c r="B343" s="480">
        <f t="shared" si="11"/>
        <v>0</v>
      </c>
      <c r="C343" s="480"/>
      <c r="D343" s="480"/>
    </row>
    <row r="344" spans="1:4" x14ac:dyDescent="0.15">
      <c r="A344" s="478">
        <f t="shared" si="10"/>
        <v>344</v>
      </c>
      <c r="B344" s="480">
        <f t="shared" si="11"/>
        <v>0</v>
      </c>
      <c r="C344" s="480"/>
      <c r="D344" s="480"/>
    </row>
    <row r="345" spans="1:4" x14ac:dyDescent="0.15">
      <c r="A345" s="478">
        <f t="shared" si="10"/>
        <v>345</v>
      </c>
      <c r="B345" s="480">
        <f t="shared" si="11"/>
        <v>0</v>
      </c>
      <c r="C345" s="480"/>
      <c r="D345" s="480"/>
    </row>
    <row r="346" spans="1:4" x14ac:dyDescent="0.15">
      <c r="A346" s="478">
        <f t="shared" si="10"/>
        <v>346</v>
      </c>
      <c r="B346" s="480">
        <f t="shared" si="11"/>
        <v>0</v>
      </c>
      <c r="C346" s="480"/>
      <c r="D346" s="480"/>
    </row>
    <row r="347" spans="1:4" x14ac:dyDescent="0.15">
      <c r="A347" s="478">
        <f t="shared" si="10"/>
        <v>347</v>
      </c>
      <c r="B347" s="480">
        <f t="shared" si="11"/>
        <v>0</v>
      </c>
      <c r="C347" s="480"/>
      <c r="D347" s="480"/>
    </row>
    <row r="348" spans="1:4" x14ac:dyDescent="0.15">
      <c r="A348" s="478">
        <f t="shared" si="10"/>
        <v>348</v>
      </c>
      <c r="B348" s="480">
        <f t="shared" si="11"/>
        <v>0</v>
      </c>
      <c r="C348" s="480"/>
      <c r="D348" s="480"/>
    </row>
    <row r="349" spans="1:4" x14ac:dyDescent="0.15">
      <c r="A349" s="478">
        <f t="shared" si="10"/>
        <v>349</v>
      </c>
      <c r="B349" s="480">
        <f t="shared" si="11"/>
        <v>0</v>
      </c>
      <c r="C349" s="480"/>
      <c r="D349" s="480"/>
    </row>
    <row r="350" spans="1:4" x14ac:dyDescent="0.15">
      <c r="A350" s="478">
        <f t="shared" si="10"/>
        <v>350</v>
      </c>
      <c r="B350" s="480">
        <f t="shared" si="11"/>
        <v>0</v>
      </c>
      <c r="C350" s="480"/>
      <c r="D350" s="480"/>
    </row>
    <row r="351" spans="1:4" x14ac:dyDescent="0.15">
      <c r="A351" s="478">
        <f t="shared" si="10"/>
        <v>351</v>
      </c>
      <c r="B351" s="480">
        <f t="shared" si="11"/>
        <v>0</v>
      </c>
      <c r="C351" s="480"/>
      <c r="D351" s="480"/>
    </row>
    <row r="352" spans="1:4" x14ac:dyDescent="0.15">
      <c r="A352" s="478">
        <f t="shared" si="10"/>
        <v>352</v>
      </c>
      <c r="B352" s="480">
        <f t="shared" si="11"/>
        <v>0</v>
      </c>
      <c r="C352" s="480"/>
      <c r="D352" s="480"/>
    </row>
    <row r="353" spans="1:4" x14ac:dyDescent="0.15">
      <c r="A353" s="478">
        <f t="shared" si="10"/>
        <v>353</v>
      </c>
      <c r="B353" s="480">
        <f t="shared" si="11"/>
        <v>0</v>
      </c>
      <c r="C353" s="480"/>
      <c r="D353" s="480"/>
    </row>
    <row r="354" spans="1:4" x14ac:dyDescent="0.15">
      <c r="A354" s="478">
        <f t="shared" si="10"/>
        <v>354</v>
      </c>
      <c r="B354" s="480">
        <f t="shared" si="11"/>
        <v>0</v>
      </c>
      <c r="C354" s="480"/>
      <c r="D354" s="480"/>
    </row>
    <row r="355" spans="1:4" x14ac:dyDescent="0.15">
      <c r="A355" s="478">
        <f t="shared" si="10"/>
        <v>355</v>
      </c>
      <c r="B355" s="480">
        <f t="shared" si="11"/>
        <v>0</v>
      </c>
      <c r="C355" s="480"/>
      <c r="D355" s="480"/>
    </row>
    <row r="356" spans="1:4" x14ac:dyDescent="0.15">
      <c r="A356" s="478">
        <f t="shared" si="10"/>
        <v>356</v>
      </c>
      <c r="B356" s="480">
        <f t="shared" si="11"/>
        <v>0</v>
      </c>
      <c r="C356" s="480"/>
      <c r="D356" s="480"/>
    </row>
    <row r="357" spans="1:4" x14ac:dyDescent="0.15">
      <c r="A357" s="478">
        <f t="shared" si="10"/>
        <v>357</v>
      </c>
      <c r="B357" s="480">
        <f t="shared" si="11"/>
        <v>0</v>
      </c>
      <c r="C357" s="480"/>
      <c r="D357" s="480"/>
    </row>
    <row r="358" spans="1:4" x14ac:dyDescent="0.15">
      <c r="A358" s="478">
        <f t="shared" si="10"/>
        <v>358</v>
      </c>
      <c r="B358" s="480">
        <f t="shared" si="11"/>
        <v>0</v>
      </c>
      <c r="C358" s="480"/>
      <c r="D358" s="480"/>
    </row>
    <row r="359" spans="1:4" x14ac:dyDescent="0.15">
      <c r="A359" s="478">
        <f t="shared" si="10"/>
        <v>359</v>
      </c>
      <c r="B359" s="480">
        <f t="shared" si="11"/>
        <v>0</v>
      </c>
      <c r="C359" s="480"/>
      <c r="D359" s="480"/>
    </row>
    <row r="360" spans="1:4" x14ac:dyDescent="0.15">
      <c r="A360" s="478">
        <f t="shared" si="10"/>
        <v>360</v>
      </c>
      <c r="B360" s="480">
        <f t="shared" si="11"/>
        <v>0</v>
      </c>
      <c r="C360" s="480"/>
      <c r="D360" s="480"/>
    </row>
    <row r="361" spans="1:4" x14ac:dyDescent="0.15">
      <c r="A361" s="478">
        <f t="shared" si="10"/>
        <v>361</v>
      </c>
      <c r="B361" s="480">
        <f t="shared" si="11"/>
        <v>0</v>
      </c>
      <c r="C361" s="480"/>
      <c r="D361" s="480"/>
    </row>
    <row r="362" spans="1:4" x14ac:dyDescent="0.15">
      <c r="A362" s="478">
        <f t="shared" si="10"/>
        <v>362</v>
      </c>
      <c r="B362" s="480">
        <f t="shared" si="11"/>
        <v>0</v>
      </c>
      <c r="C362" s="480"/>
      <c r="D362" s="480"/>
    </row>
    <row r="363" spans="1:4" x14ac:dyDescent="0.15">
      <c r="A363" s="478">
        <f t="shared" si="10"/>
        <v>363</v>
      </c>
      <c r="B363" s="480">
        <f t="shared" si="11"/>
        <v>0</v>
      </c>
      <c r="C363" s="480"/>
      <c r="D363" s="480"/>
    </row>
    <row r="364" spans="1:4" x14ac:dyDescent="0.15">
      <c r="A364" s="478">
        <f t="shared" si="10"/>
        <v>364</v>
      </c>
      <c r="B364" s="480">
        <f t="shared" si="11"/>
        <v>0</v>
      </c>
      <c r="C364" s="480"/>
      <c r="D364" s="480"/>
    </row>
    <row r="365" spans="1:4" x14ac:dyDescent="0.15">
      <c r="A365" s="478">
        <f t="shared" si="10"/>
        <v>365</v>
      </c>
      <c r="B365" s="480">
        <f t="shared" si="11"/>
        <v>0</v>
      </c>
      <c r="C365" s="480"/>
      <c r="D365" s="480"/>
    </row>
    <row r="366" spans="1:4" x14ac:dyDescent="0.15">
      <c r="A366" s="478">
        <f t="shared" si="10"/>
        <v>366</v>
      </c>
      <c r="B366" s="480">
        <f t="shared" si="11"/>
        <v>0</v>
      </c>
      <c r="C366" s="480"/>
      <c r="D366" s="480"/>
    </row>
    <row r="367" spans="1:4" x14ac:dyDescent="0.15">
      <c r="A367" s="478">
        <f t="shared" si="10"/>
        <v>367</v>
      </c>
      <c r="B367" s="480">
        <f t="shared" si="11"/>
        <v>0</v>
      </c>
      <c r="C367" s="480"/>
      <c r="D367" s="480"/>
    </row>
    <row r="368" spans="1:4" x14ac:dyDescent="0.15">
      <c r="A368" s="478">
        <f t="shared" si="10"/>
        <v>368</v>
      </c>
      <c r="B368" s="480">
        <f t="shared" si="11"/>
        <v>0</v>
      </c>
      <c r="C368" s="480"/>
      <c r="D368" s="480"/>
    </row>
    <row r="369" spans="1:4" x14ac:dyDescent="0.15">
      <c r="A369" s="478">
        <f t="shared" si="10"/>
        <v>369</v>
      </c>
      <c r="B369" s="480">
        <f t="shared" si="11"/>
        <v>0</v>
      </c>
      <c r="C369" s="480"/>
      <c r="D369" s="480"/>
    </row>
    <row r="370" spans="1:4" x14ac:dyDescent="0.15">
      <c r="A370" s="478">
        <f t="shared" si="10"/>
        <v>370</v>
      </c>
      <c r="B370" s="480">
        <f t="shared" si="11"/>
        <v>0</v>
      </c>
      <c r="C370" s="480"/>
      <c r="D370" s="480"/>
    </row>
    <row r="371" spans="1:4" x14ac:dyDescent="0.15">
      <c r="A371" s="478">
        <f t="shared" si="10"/>
        <v>371</v>
      </c>
      <c r="B371" s="480">
        <f t="shared" si="11"/>
        <v>0</v>
      </c>
      <c r="C371" s="480"/>
      <c r="D371" s="480"/>
    </row>
    <row r="372" spans="1:4" x14ac:dyDescent="0.15">
      <c r="A372" s="478">
        <f t="shared" si="10"/>
        <v>372</v>
      </c>
      <c r="B372" s="480">
        <f t="shared" si="11"/>
        <v>0</v>
      </c>
      <c r="C372" s="480"/>
      <c r="D372" s="480"/>
    </row>
    <row r="373" spans="1:4" x14ac:dyDescent="0.15">
      <c r="A373" s="478">
        <f t="shared" si="10"/>
        <v>373</v>
      </c>
      <c r="B373" s="480">
        <f t="shared" si="11"/>
        <v>0</v>
      </c>
      <c r="C373" s="480"/>
      <c r="D373" s="480"/>
    </row>
    <row r="374" spans="1:4" x14ac:dyDescent="0.15">
      <c r="A374" s="478">
        <f t="shared" si="10"/>
        <v>374</v>
      </c>
      <c r="B374" s="480">
        <f t="shared" si="11"/>
        <v>0</v>
      </c>
      <c r="C374" s="480"/>
      <c r="D374" s="480"/>
    </row>
    <row r="375" spans="1:4" x14ac:dyDescent="0.15">
      <c r="A375" s="478">
        <f t="shared" si="10"/>
        <v>375</v>
      </c>
      <c r="B375" s="480">
        <f t="shared" si="11"/>
        <v>0</v>
      </c>
      <c r="C375" s="480"/>
      <c r="D375" s="480"/>
    </row>
    <row r="376" spans="1:4" x14ac:dyDescent="0.15">
      <c r="A376" s="478">
        <f t="shared" si="10"/>
        <v>376</v>
      </c>
      <c r="B376" s="480">
        <f t="shared" si="11"/>
        <v>0</v>
      </c>
      <c r="C376" s="480"/>
      <c r="D376" s="480"/>
    </row>
    <row r="377" spans="1:4" x14ac:dyDescent="0.15">
      <c r="A377" s="478">
        <f t="shared" si="10"/>
        <v>377</v>
      </c>
      <c r="B377" s="480">
        <f t="shared" si="11"/>
        <v>0</v>
      </c>
      <c r="C377" s="480"/>
      <c r="D377" s="480"/>
    </row>
    <row r="378" spans="1:4" x14ac:dyDescent="0.15">
      <c r="A378" s="478">
        <f t="shared" si="10"/>
        <v>378</v>
      </c>
      <c r="B378" s="480">
        <f t="shared" si="11"/>
        <v>0</v>
      </c>
      <c r="C378" s="480"/>
      <c r="D378" s="480"/>
    </row>
    <row r="379" spans="1:4" x14ac:dyDescent="0.15">
      <c r="A379" s="478">
        <f t="shared" si="10"/>
        <v>379</v>
      </c>
      <c r="B379" s="480">
        <f t="shared" si="11"/>
        <v>0</v>
      </c>
      <c r="C379" s="480"/>
      <c r="D379" s="480"/>
    </row>
    <row r="380" spans="1:4" x14ac:dyDescent="0.15">
      <c r="A380" s="478">
        <f t="shared" si="10"/>
        <v>380</v>
      </c>
      <c r="B380" s="480">
        <f t="shared" si="11"/>
        <v>0</v>
      </c>
      <c r="C380" s="480"/>
      <c r="D380" s="480"/>
    </row>
    <row r="381" spans="1:4" x14ac:dyDescent="0.15">
      <c r="A381" s="478">
        <f t="shared" si="10"/>
        <v>381</v>
      </c>
      <c r="B381" s="480">
        <f t="shared" si="11"/>
        <v>0</v>
      </c>
      <c r="C381" s="480"/>
      <c r="D381" s="480"/>
    </row>
    <row r="382" spans="1:4" x14ac:dyDescent="0.15">
      <c r="A382" s="478">
        <f t="shared" ref="A382:A445" si="12">+A381+1</f>
        <v>382</v>
      </c>
      <c r="B382" s="480">
        <f t="shared" si="11"/>
        <v>0</v>
      </c>
      <c r="C382" s="480"/>
      <c r="D382" s="480"/>
    </row>
    <row r="383" spans="1:4" x14ac:dyDescent="0.15">
      <c r="A383" s="478">
        <f t="shared" si="12"/>
        <v>383</v>
      </c>
      <c r="B383" s="480">
        <f t="shared" si="11"/>
        <v>0</v>
      </c>
      <c r="C383" s="480"/>
      <c r="D383" s="480"/>
    </row>
    <row r="384" spans="1:4" x14ac:dyDescent="0.15">
      <c r="A384" s="478">
        <f t="shared" si="12"/>
        <v>384</v>
      </c>
      <c r="B384" s="480">
        <f t="shared" si="11"/>
        <v>0</v>
      </c>
      <c r="C384" s="480"/>
      <c r="D384" s="480"/>
    </row>
    <row r="385" spans="1:4" x14ac:dyDescent="0.15">
      <c r="A385" s="478">
        <f t="shared" si="12"/>
        <v>385</v>
      </c>
      <c r="B385" s="480">
        <f t="shared" si="11"/>
        <v>0</v>
      </c>
      <c r="C385" s="480"/>
      <c r="D385" s="480"/>
    </row>
    <row r="386" spans="1:4" x14ac:dyDescent="0.15">
      <c r="A386" s="478">
        <f t="shared" si="12"/>
        <v>386</v>
      </c>
      <c r="B386" s="480">
        <f t="shared" ref="B386:B449" si="13">+HLOOKUP($B$1,$C$1:$D$505,$A386,0)</f>
        <v>0</v>
      </c>
      <c r="C386" s="480"/>
      <c r="D386" s="480"/>
    </row>
    <row r="387" spans="1:4" x14ac:dyDescent="0.15">
      <c r="A387" s="478">
        <f t="shared" si="12"/>
        <v>387</v>
      </c>
      <c r="B387" s="480">
        <f t="shared" si="13"/>
        <v>0</v>
      </c>
      <c r="C387" s="480"/>
      <c r="D387" s="480"/>
    </row>
    <row r="388" spans="1:4" x14ac:dyDescent="0.15">
      <c r="A388" s="478">
        <f t="shared" si="12"/>
        <v>388</v>
      </c>
      <c r="B388" s="480">
        <f t="shared" si="13"/>
        <v>0</v>
      </c>
      <c r="C388" s="480"/>
      <c r="D388" s="480"/>
    </row>
    <row r="389" spans="1:4" x14ac:dyDescent="0.15">
      <c r="A389" s="478">
        <f t="shared" si="12"/>
        <v>389</v>
      </c>
      <c r="B389" s="480">
        <f t="shared" si="13"/>
        <v>0</v>
      </c>
      <c r="C389" s="480"/>
      <c r="D389" s="480"/>
    </row>
    <row r="390" spans="1:4" x14ac:dyDescent="0.15">
      <c r="A390" s="478">
        <f t="shared" si="12"/>
        <v>390</v>
      </c>
      <c r="B390" s="480">
        <f t="shared" si="13"/>
        <v>0</v>
      </c>
      <c r="C390" s="480"/>
      <c r="D390" s="480"/>
    </row>
    <row r="391" spans="1:4" x14ac:dyDescent="0.15">
      <c r="A391" s="478">
        <f t="shared" si="12"/>
        <v>391</v>
      </c>
      <c r="B391" s="480">
        <f t="shared" si="13"/>
        <v>0</v>
      </c>
      <c r="C391" s="480"/>
      <c r="D391" s="480"/>
    </row>
    <row r="392" spans="1:4" x14ac:dyDescent="0.15">
      <c r="A392" s="478">
        <f t="shared" si="12"/>
        <v>392</v>
      </c>
      <c r="B392" s="480">
        <f t="shared" si="13"/>
        <v>0</v>
      </c>
      <c r="C392" s="480"/>
      <c r="D392" s="480"/>
    </row>
    <row r="393" spans="1:4" x14ac:dyDescent="0.15">
      <c r="A393" s="478">
        <f t="shared" si="12"/>
        <v>393</v>
      </c>
      <c r="B393" s="480">
        <f t="shared" si="13"/>
        <v>0</v>
      </c>
      <c r="C393" s="480"/>
      <c r="D393" s="480"/>
    </row>
    <row r="394" spans="1:4" x14ac:dyDescent="0.15">
      <c r="A394" s="478">
        <f t="shared" si="12"/>
        <v>394</v>
      </c>
      <c r="B394" s="480">
        <f t="shared" si="13"/>
        <v>0</v>
      </c>
      <c r="C394" s="480"/>
      <c r="D394" s="480"/>
    </row>
    <row r="395" spans="1:4" x14ac:dyDescent="0.15">
      <c r="A395" s="478">
        <f t="shared" si="12"/>
        <v>395</v>
      </c>
      <c r="B395" s="480">
        <f t="shared" si="13"/>
        <v>0</v>
      </c>
      <c r="C395" s="480"/>
      <c r="D395" s="480"/>
    </row>
    <row r="396" spans="1:4" x14ac:dyDescent="0.15">
      <c r="A396" s="478">
        <f t="shared" si="12"/>
        <v>396</v>
      </c>
      <c r="B396" s="480">
        <f t="shared" si="13"/>
        <v>0</v>
      </c>
      <c r="C396" s="480"/>
      <c r="D396" s="480"/>
    </row>
    <row r="397" spans="1:4" x14ac:dyDescent="0.15">
      <c r="A397" s="478">
        <f t="shared" si="12"/>
        <v>397</v>
      </c>
      <c r="B397" s="480">
        <f t="shared" si="13"/>
        <v>0</v>
      </c>
      <c r="C397" s="480"/>
      <c r="D397" s="480"/>
    </row>
    <row r="398" spans="1:4" x14ac:dyDescent="0.15">
      <c r="A398" s="478">
        <f t="shared" si="12"/>
        <v>398</v>
      </c>
      <c r="B398" s="480">
        <f t="shared" si="13"/>
        <v>0</v>
      </c>
      <c r="C398" s="480"/>
      <c r="D398" s="480"/>
    </row>
    <row r="399" spans="1:4" x14ac:dyDescent="0.15">
      <c r="A399" s="478">
        <f t="shared" si="12"/>
        <v>399</v>
      </c>
      <c r="B399" s="480">
        <f t="shared" si="13"/>
        <v>0</v>
      </c>
      <c r="C399" s="480"/>
      <c r="D399" s="480"/>
    </row>
    <row r="400" spans="1:4" x14ac:dyDescent="0.15">
      <c r="A400" s="478">
        <f t="shared" si="12"/>
        <v>400</v>
      </c>
      <c r="B400" s="480">
        <f t="shared" si="13"/>
        <v>0</v>
      </c>
      <c r="C400" s="480"/>
      <c r="D400" s="480"/>
    </row>
    <row r="401" spans="1:4" x14ac:dyDescent="0.15">
      <c r="A401" s="478">
        <f t="shared" si="12"/>
        <v>401</v>
      </c>
      <c r="B401" s="480">
        <f t="shared" si="13"/>
        <v>0</v>
      </c>
      <c r="C401" s="480"/>
      <c r="D401" s="480"/>
    </row>
    <row r="402" spans="1:4" x14ac:dyDescent="0.15">
      <c r="A402" s="478">
        <f t="shared" si="12"/>
        <v>402</v>
      </c>
      <c r="B402" s="480">
        <f t="shared" si="13"/>
        <v>0</v>
      </c>
      <c r="C402" s="480"/>
      <c r="D402" s="480"/>
    </row>
    <row r="403" spans="1:4" x14ac:dyDescent="0.15">
      <c r="A403" s="478">
        <f t="shared" si="12"/>
        <v>403</v>
      </c>
      <c r="B403" s="480">
        <f t="shared" si="13"/>
        <v>0</v>
      </c>
      <c r="C403" s="480"/>
      <c r="D403" s="480"/>
    </row>
    <row r="404" spans="1:4" x14ac:dyDescent="0.15">
      <c r="A404" s="478">
        <f t="shared" si="12"/>
        <v>404</v>
      </c>
      <c r="B404" s="480">
        <f t="shared" si="13"/>
        <v>0</v>
      </c>
      <c r="C404" s="480"/>
      <c r="D404" s="480"/>
    </row>
    <row r="405" spans="1:4" x14ac:dyDescent="0.15">
      <c r="A405" s="478">
        <f t="shared" si="12"/>
        <v>405</v>
      </c>
      <c r="B405" s="480">
        <f t="shared" si="13"/>
        <v>0</v>
      </c>
      <c r="C405" s="480"/>
      <c r="D405" s="480"/>
    </row>
    <row r="406" spans="1:4" x14ac:dyDescent="0.15">
      <c r="A406" s="478">
        <f t="shared" si="12"/>
        <v>406</v>
      </c>
      <c r="B406" s="480">
        <f t="shared" si="13"/>
        <v>0</v>
      </c>
      <c r="C406" s="480"/>
      <c r="D406" s="480"/>
    </row>
    <row r="407" spans="1:4" x14ac:dyDescent="0.15">
      <c r="A407" s="478">
        <f t="shared" si="12"/>
        <v>407</v>
      </c>
      <c r="B407" s="480">
        <f t="shared" si="13"/>
        <v>0</v>
      </c>
      <c r="C407" s="480"/>
      <c r="D407" s="480"/>
    </row>
    <row r="408" spans="1:4" x14ac:dyDescent="0.15">
      <c r="A408" s="478">
        <f t="shared" si="12"/>
        <v>408</v>
      </c>
      <c r="B408" s="480">
        <f t="shared" si="13"/>
        <v>0</v>
      </c>
      <c r="C408" s="480"/>
      <c r="D408" s="480"/>
    </row>
    <row r="409" spans="1:4" x14ac:dyDescent="0.15">
      <c r="A409" s="478">
        <f t="shared" si="12"/>
        <v>409</v>
      </c>
      <c r="B409" s="480">
        <f t="shared" si="13"/>
        <v>0</v>
      </c>
      <c r="C409" s="480"/>
      <c r="D409" s="480"/>
    </row>
    <row r="410" spans="1:4" x14ac:dyDescent="0.15">
      <c r="A410" s="478">
        <f t="shared" si="12"/>
        <v>410</v>
      </c>
      <c r="B410" s="480">
        <f t="shared" si="13"/>
        <v>0</v>
      </c>
      <c r="C410" s="480"/>
      <c r="D410" s="480"/>
    </row>
    <row r="411" spans="1:4" x14ac:dyDescent="0.15">
      <c r="A411" s="478">
        <f t="shared" si="12"/>
        <v>411</v>
      </c>
      <c r="B411" s="480">
        <f t="shared" si="13"/>
        <v>0</v>
      </c>
      <c r="C411" s="480"/>
      <c r="D411" s="480"/>
    </row>
    <row r="412" spans="1:4" x14ac:dyDescent="0.15">
      <c r="A412" s="478">
        <f t="shared" si="12"/>
        <v>412</v>
      </c>
      <c r="B412" s="480">
        <f t="shared" si="13"/>
        <v>0</v>
      </c>
      <c r="C412" s="480"/>
      <c r="D412" s="480"/>
    </row>
    <row r="413" spans="1:4" x14ac:dyDescent="0.15">
      <c r="A413" s="478">
        <f t="shared" si="12"/>
        <v>413</v>
      </c>
      <c r="B413" s="480">
        <f t="shared" si="13"/>
        <v>0</v>
      </c>
      <c r="C413" s="480"/>
      <c r="D413" s="480"/>
    </row>
    <row r="414" spans="1:4" x14ac:dyDescent="0.15">
      <c r="A414" s="478">
        <f t="shared" si="12"/>
        <v>414</v>
      </c>
      <c r="B414" s="480">
        <f t="shared" si="13"/>
        <v>0</v>
      </c>
      <c r="C414" s="480"/>
      <c r="D414" s="480"/>
    </row>
    <row r="415" spans="1:4" x14ac:dyDescent="0.15">
      <c r="A415" s="478">
        <f t="shared" si="12"/>
        <v>415</v>
      </c>
      <c r="B415" s="480">
        <f t="shared" si="13"/>
        <v>0</v>
      </c>
      <c r="C415" s="480"/>
      <c r="D415" s="480"/>
    </row>
    <row r="416" spans="1:4" x14ac:dyDescent="0.15">
      <c r="A416" s="478">
        <f t="shared" si="12"/>
        <v>416</v>
      </c>
      <c r="B416" s="480">
        <f t="shared" si="13"/>
        <v>0</v>
      </c>
      <c r="C416" s="480"/>
      <c r="D416" s="480"/>
    </row>
    <row r="417" spans="1:4" x14ac:dyDescent="0.15">
      <c r="A417" s="478">
        <f t="shared" si="12"/>
        <v>417</v>
      </c>
      <c r="B417" s="480">
        <f t="shared" si="13"/>
        <v>0</v>
      </c>
      <c r="C417" s="480"/>
      <c r="D417" s="480"/>
    </row>
    <row r="418" spans="1:4" x14ac:dyDescent="0.15">
      <c r="A418" s="478">
        <f t="shared" si="12"/>
        <v>418</v>
      </c>
      <c r="B418" s="480">
        <f t="shared" si="13"/>
        <v>0</v>
      </c>
      <c r="C418" s="480"/>
      <c r="D418" s="480"/>
    </row>
    <row r="419" spans="1:4" x14ac:dyDescent="0.15">
      <c r="A419" s="478">
        <f t="shared" si="12"/>
        <v>419</v>
      </c>
      <c r="B419" s="480">
        <f t="shared" si="13"/>
        <v>0</v>
      </c>
      <c r="C419" s="480"/>
      <c r="D419" s="480"/>
    </row>
    <row r="420" spans="1:4" x14ac:dyDescent="0.15">
      <c r="A420" s="478">
        <f t="shared" si="12"/>
        <v>420</v>
      </c>
      <c r="B420" s="480">
        <f t="shared" si="13"/>
        <v>0</v>
      </c>
      <c r="C420" s="480"/>
      <c r="D420" s="480"/>
    </row>
    <row r="421" spans="1:4" x14ac:dyDescent="0.15">
      <c r="A421" s="478">
        <f t="shared" si="12"/>
        <v>421</v>
      </c>
      <c r="B421" s="480">
        <f t="shared" si="13"/>
        <v>0</v>
      </c>
      <c r="C421" s="480"/>
      <c r="D421" s="480"/>
    </row>
    <row r="422" spans="1:4" x14ac:dyDescent="0.15">
      <c r="A422" s="478">
        <f t="shared" si="12"/>
        <v>422</v>
      </c>
      <c r="B422" s="480">
        <f t="shared" si="13"/>
        <v>0</v>
      </c>
      <c r="C422" s="480"/>
      <c r="D422" s="480"/>
    </row>
    <row r="423" spans="1:4" x14ac:dyDescent="0.15">
      <c r="A423" s="478">
        <f t="shared" si="12"/>
        <v>423</v>
      </c>
      <c r="B423" s="480">
        <f t="shared" si="13"/>
        <v>0</v>
      </c>
      <c r="C423" s="480"/>
      <c r="D423" s="480"/>
    </row>
    <row r="424" spans="1:4" x14ac:dyDescent="0.15">
      <c r="A424" s="478">
        <f t="shared" si="12"/>
        <v>424</v>
      </c>
      <c r="B424" s="480">
        <f t="shared" si="13"/>
        <v>0</v>
      </c>
      <c r="C424" s="480"/>
      <c r="D424" s="480"/>
    </row>
    <row r="425" spans="1:4" x14ac:dyDescent="0.15">
      <c r="A425" s="478">
        <f t="shared" si="12"/>
        <v>425</v>
      </c>
      <c r="B425" s="480">
        <f t="shared" si="13"/>
        <v>0</v>
      </c>
      <c r="C425" s="480"/>
      <c r="D425" s="480"/>
    </row>
    <row r="426" spans="1:4" x14ac:dyDescent="0.15">
      <c r="A426" s="478">
        <f t="shared" si="12"/>
        <v>426</v>
      </c>
      <c r="B426" s="480">
        <f t="shared" si="13"/>
        <v>0</v>
      </c>
      <c r="C426" s="480"/>
      <c r="D426" s="480"/>
    </row>
    <row r="427" spans="1:4" x14ac:dyDescent="0.15">
      <c r="A427" s="478">
        <f t="shared" si="12"/>
        <v>427</v>
      </c>
      <c r="B427" s="480">
        <f t="shared" si="13"/>
        <v>0</v>
      </c>
      <c r="C427" s="480"/>
      <c r="D427" s="480"/>
    </row>
    <row r="428" spans="1:4" x14ac:dyDescent="0.15">
      <c r="A428" s="478">
        <f t="shared" si="12"/>
        <v>428</v>
      </c>
      <c r="B428" s="480">
        <f t="shared" si="13"/>
        <v>0</v>
      </c>
      <c r="C428" s="480"/>
      <c r="D428" s="480"/>
    </row>
    <row r="429" spans="1:4" x14ac:dyDescent="0.15">
      <c r="A429" s="478">
        <f t="shared" si="12"/>
        <v>429</v>
      </c>
      <c r="B429" s="480">
        <f t="shared" si="13"/>
        <v>0</v>
      </c>
      <c r="C429" s="480"/>
      <c r="D429" s="480"/>
    </row>
    <row r="430" spans="1:4" x14ac:dyDescent="0.15">
      <c r="A430" s="478">
        <f t="shared" si="12"/>
        <v>430</v>
      </c>
      <c r="B430" s="480">
        <f t="shared" si="13"/>
        <v>0</v>
      </c>
      <c r="C430" s="480"/>
      <c r="D430" s="480"/>
    </row>
    <row r="431" spans="1:4" x14ac:dyDescent="0.15">
      <c r="A431" s="478">
        <f t="shared" si="12"/>
        <v>431</v>
      </c>
      <c r="B431" s="480">
        <f t="shared" si="13"/>
        <v>0</v>
      </c>
      <c r="C431" s="480"/>
      <c r="D431" s="480"/>
    </row>
    <row r="432" spans="1:4" x14ac:dyDescent="0.15">
      <c r="A432" s="478">
        <f t="shared" si="12"/>
        <v>432</v>
      </c>
      <c r="B432" s="480">
        <f t="shared" si="13"/>
        <v>0</v>
      </c>
      <c r="C432" s="480"/>
      <c r="D432" s="480"/>
    </row>
    <row r="433" spans="1:4" x14ac:dyDescent="0.15">
      <c r="A433" s="478">
        <f t="shared" si="12"/>
        <v>433</v>
      </c>
      <c r="B433" s="480">
        <f t="shared" si="13"/>
        <v>0</v>
      </c>
      <c r="C433" s="480"/>
      <c r="D433" s="480"/>
    </row>
    <row r="434" spans="1:4" x14ac:dyDescent="0.15">
      <c r="A434" s="478">
        <f t="shared" si="12"/>
        <v>434</v>
      </c>
      <c r="B434" s="480">
        <f t="shared" si="13"/>
        <v>0</v>
      </c>
      <c r="C434" s="480"/>
      <c r="D434" s="480"/>
    </row>
    <row r="435" spans="1:4" x14ac:dyDescent="0.15">
      <c r="A435" s="478">
        <f t="shared" si="12"/>
        <v>435</v>
      </c>
      <c r="B435" s="480">
        <f t="shared" si="13"/>
        <v>0</v>
      </c>
      <c r="C435" s="480"/>
      <c r="D435" s="480"/>
    </row>
    <row r="436" spans="1:4" x14ac:dyDescent="0.15">
      <c r="A436" s="478">
        <f t="shared" si="12"/>
        <v>436</v>
      </c>
      <c r="B436" s="480">
        <f t="shared" si="13"/>
        <v>0</v>
      </c>
      <c r="C436" s="480"/>
      <c r="D436" s="480"/>
    </row>
    <row r="437" spans="1:4" x14ac:dyDescent="0.15">
      <c r="A437" s="478">
        <f t="shared" si="12"/>
        <v>437</v>
      </c>
      <c r="B437" s="480">
        <f t="shared" si="13"/>
        <v>0</v>
      </c>
      <c r="C437" s="480"/>
      <c r="D437" s="480"/>
    </row>
    <row r="438" spans="1:4" x14ac:dyDescent="0.15">
      <c r="A438" s="478">
        <f t="shared" si="12"/>
        <v>438</v>
      </c>
      <c r="B438" s="480">
        <f t="shared" si="13"/>
        <v>0</v>
      </c>
      <c r="C438" s="480"/>
      <c r="D438" s="480"/>
    </row>
    <row r="439" spans="1:4" x14ac:dyDescent="0.15">
      <c r="A439" s="478">
        <f t="shared" si="12"/>
        <v>439</v>
      </c>
      <c r="B439" s="480">
        <f t="shared" si="13"/>
        <v>0</v>
      </c>
      <c r="C439" s="480"/>
      <c r="D439" s="480"/>
    </row>
    <row r="440" spans="1:4" x14ac:dyDescent="0.15">
      <c r="A440" s="478">
        <f t="shared" si="12"/>
        <v>440</v>
      </c>
      <c r="B440" s="480">
        <f t="shared" si="13"/>
        <v>0</v>
      </c>
      <c r="C440" s="480"/>
      <c r="D440" s="480"/>
    </row>
    <row r="441" spans="1:4" x14ac:dyDescent="0.15">
      <c r="A441" s="478">
        <f t="shared" si="12"/>
        <v>441</v>
      </c>
      <c r="B441" s="480">
        <f t="shared" si="13"/>
        <v>0</v>
      </c>
      <c r="C441" s="480"/>
      <c r="D441" s="480"/>
    </row>
    <row r="442" spans="1:4" x14ac:dyDescent="0.15">
      <c r="A442" s="478">
        <f t="shared" si="12"/>
        <v>442</v>
      </c>
      <c r="B442" s="480">
        <f t="shared" si="13"/>
        <v>0</v>
      </c>
      <c r="C442" s="480"/>
      <c r="D442" s="480"/>
    </row>
    <row r="443" spans="1:4" x14ac:dyDescent="0.15">
      <c r="A443" s="478">
        <f t="shared" si="12"/>
        <v>443</v>
      </c>
      <c r="B443" s="480">
        <f t="shared" si="13"/>
        <v>0</v>
      </c>
      <c r="C443" s="480"/>
      <c r="D443" s="480"/>
    </row>
    <row r="444" spans="1:4" x14ac:dyDescent="0.15">
      <c r="A444" s="478">
        <f t="shared" si="12"/>
        <v>444</v>
      </c>
      <c r="B444" s="480">
        <f t="shared" si="13"/>
        <v>0</v>
      </c>
      <c r="C444" s="480"/>
      <c r="D444" s="480"/>
    </row>
    <row r="445" spans="1:4" x14ac:dyDescent="0.15">
      <c r="A445" s="478">
        <f t="shared" si="12"/>
        <v>445</v>
      </c>
      <c r="B445" s="480">
        <f t="shared" si="13"/>
        <v>0</v>
      </c>
      <c r="C445" s="480"/>
      <c r="D445" s="480"/>
    </row>
    <row r="446" spans="1:4" x14ac:dyDescent="0.15">
      <c r="A446" s="478">
        <f t="shared" ref="A446:A460" si="14">+A445+1</f>
        <v>446</v>
      </c>
      <c r="B446" s="480">
        <f t="shared" si="13"/>
        <v>0</v>
      </c>
      <c r="C446" s="480"/>
      <c r="D446" s="480"/>
    </row>
    <row r="447" spans="1:4" x14ac:dyDescent="0.15">
      <c r="A447" s="478">
        <f t="shared" si="14"/>
        <v>447</v>
      </c>
      <c r="B447" s="480">
        <f t="shared" si="13"/>
        <v>0</v>
      </c>
      <c r="C447" s="480"/>
      <c r="D447" s="480"/>
    </row>
    <row r="448" spans="1:4" x14ac:dyDescent="0.15">
      <c r="A448" s="478">
        <f t="shared" si="14"/>
        <v>448</v>
      </c>
      <c r="B448" s="480">
        <f t="shared" si="13"/>
        <v>0</v>
      </c>
      <c r="C448" s="480"/>
      <c r="D448" s="480"/>
    </row>
    <row r="449" spans="1:4" x14ac:dyDescent="0.15">
      <c r="A449" s="478">
        <f t="shared" si="14"/>
        <v>449</v>
      </c>
      <c r="B449" s="480">
        <f t="shared" si="13"/>
        <v>0</v>
      </c>
      <c r="C449" s="480"/>
      <c r="D449" s="480"/>
    </row>
    <row r="450" spans="1:4" x14ac:dyDescent="0.15">
      <c r="A450" s="478">
        <f t="shared" si="14"/>
        <v>450</v>
      </c>
      <c r="B450" s="480">
        <f t="shared" ref="B450:B460" si="15">+HLOOKUP($B$1,$C$1:$D$505,$A450,0)</f>
        <v>0</v>
      </c>
      <c r="C450" s="480"/>
      <c r="D450" s="480"/>
    </row>
    <row r="451" spans="1:4" x14ac:dyDescent="0.15">
      <c r="A451" s="478">
        <f t="shared" si="14"/>
        <v>451</v>
      </c>
      <c r="B451" s="480">
        <f t="shared" si="15"/>
        <v>0</v>
      </c>
      <c r="C451" s="480"/>
      <c r="D451" s="480"/>
    </row>
    <row r="452" spans="1:4" x14ac:dyDescent="0.15">
      <c r="A452" s="478">
        <f t="shared" si="14"/>
        <v>452</v>
      </c>
      <c r="B452" s="480">
        <f t="shared" si="15"/>
        <v>0</v>
      </c>
      <c r="C452" s="480"/>
      <c r="D452" s="480"/>
    </row>
    <row r="453" spans="1:4" x14ac:dyDescent="0.15">
      <c r="A453" s="478">
        <f t="shared" si="14"/>
        <v>453</v>
      </c>
      <c r="B453" s="480">
        <f t="shared" si="15"/>
        <v>0</v>
      </c>
      <c r="C453" s="480"/>
      <c r="D453" s="480"/>
    </row>
    <row r="454" spans="1:4" x14ac:dyDescent="0.15">
      <c r="A454" s="478">
        <f t="shared" si="14"/>
        <v>454</v>
      </c>
      <c r="B454" s="480">
        <f t="shared" si="15"/>
        <v>0</v>
      </c>
      <c r="C454" s="480"/>
      <c r="D454" s="480"/>
    </row>
    <row r="455" spans="1:4" x14ac:dyDescent="0.15">
      <c r="A455" s="478">
        <f t="shared" si="14"/>
        <v>455</v>
      </c>
      <c r="B455" s="480">
        <f t="shared" si="15"/>
        <v>0</v>
      </c>
      <c r="C455" s="480"/>
      <c r="D455" s="480"/>
    </row>
    <row r="456" spans="1:4" x14ac:dyDescent="0.15">
      <c r="A456" s="478">
        <f t="shared" si="14"/>
        <v>456</v>
      </c>
      <c r="B456" s="480">
        <f t="shared" si="15"/>
        <v>0</v>
      </c>
      <c r="C456" s="480"/>
      <c r="D456" s="480"/>
    </row>
    <row r="457" spans="1:4" x14ac:dyDescent="0.15">
      <c r="A457" s="478">
        <f t="shared" si="14"/>
        <v>457</v>
      </c>
      <c r="B457" s="480">
        <f t="shared" si="15"/>
        <v>0</v>
      </c>
      <c r="C457" s="480"/>
      <c r="D457" s="480"/>
    </row>
    <row r="458" spans="1:4" x14ac:dyDescent="0.15">
      <c r="A458" s="478">
        <f t="shared" si="14"/>
        <v>458</v>
      </c>
      <c r="B458" s="480">
        <f t="shared" si="15"/>
        <v>0</v>
      </c>
      <c r="C458" s="480"/>
      <c r="D458" s="480"/>
    </row>
    <row r="459" spans="1:4" x14ac:dyDescent="0.15">
      <c r="A459" s="478">
        <f t="shared" si="14"/>
        <v>459</v>
      </c>
      <c r="B459" s="480">
        <f t="shared" si="15"/>
        <v>0</v>
      </c>
      <c r="C459" s="480"/>
      <c r="D459" s="480"/>
    </row>
    <row r="460" spans="1:4" x14ac:dyDescent="0.15">
      <c r="A460" s="478">
        <f t="shared" si="14"/>
        <v>460</v>
      </c>
      <c r="B460" s="480">
        <f t="shared" si="15"/>
        <v>0</v>
      </c>
      <c r="C460" s="480"/>
      <c r="D460" s="480"/>
    </row>
  </sheetData>
  <autoFilter ref="A1:T460" xr:uid="{00000000-0009-0000-0000-000010000000}"/>
  <conditionalFormatting sqref="B1:B1048576">
    <cfRule type="duplicateValues" dxfId="0"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Charts</vt:lpstr>
      </vt:variant>
      <vt:variant>
        <vt:i4>2</vt:i4>
      </vt:variant>
      <vt:variant>
        <vt:lpstr>Named Ranges</vt:lpstr>
      </vt:variant>
      <vt:variant>
        <vt:i4>69</vt:i4>
      </vt:variant>
    </vt:vector>
  </HeadingPairs>
  <TitlesOfParts>
    <vt:vector size="86" baseType="lpstr">
      <vt:lpstr>Read Me</vt:lpstr>
      <vt:lpstr>Input-Output Module</vt:lpstr>
      <vt:lpstr>Vergelijking Data</vt:lpstr>
      <vt:lpstr>Invoervelden</vt:lpstr>
      <vt:lpstr>Catalogus</vt:lpstr>
      <vt:lpstr>Calculatie</vt:lpstr>
      <vt:lpstr>M1-PowerSupply</vt:lpstr>
      <vt:lpstr>M2-Subsidie</vt:lpstr>
      <vt:lpstr>Parameters</vt:lpstr>
      <vt:lpstr>Indexatie</vt:lpstr>
      <vt:lpstr>Database</vt:lpstr>
      <vt:lpstr>Dynamic</vt:lpstr>
      <vt:lpstr>Breakeven analyse</vt:lpstr>
      <vt:lpstr>kostenmodel laadplein2022</vt:lpstr>
      <vt:lpstr>Config</vt:lpstr>
      <vt:lpstr>Breakeven-analyse</vt:lpstr>
      <vt:lpstr>Breakeven-analyse - bar</vt:lpstr>
      <vt:lpstr>batt_cap_input</vt:lpstr>
      <vt:lpstr>Database!bedrijftype_input</vt:lpstr>
      <vt:lpstr>'Vergelijking Data'!bedrijftype_input</vt:lpstr>
      <vt:lpstr>bedrijftype_input</vt:lpstr>
      <vt:lpstr>charge_power_input</vt:lpstr>
      <vt:lpstr>Database!co2_price</vt:lpstr>
      <vt:lpstr>'Vergelijking Data'!co2_price</vt:lpstr>
      <vt:lpstr>co2_price</vt:lpstr>
      <vt:lpstr>DatasetName</vt:lpstr>
      <vt:lpstr>DataSets</vt:lpstr>
      <vt:lpstr>Database!DV_age</vt:lpstr>
      <vt:lpstr>'Vergelijking Data'!DV_age</vt:lpstr>
      <vt:lpstr>DV_age</vt:lpstr>
      <vt:lpstr>Database!DV_mileage</vt:lpstr>
      <vt:lpstr>'Vergelijking Data'!DV_mileage</vt:lpstr>
      <vt:lpstr>DV_mileage</vt:lpstr>
      <vt:lpstr>DV_productivehours</vt:lpstr>
      <vt:lpstr>Database!DV_reparaties</vt:lpstr>
      <vt:lpstr>'Vergelijking Data'!DV_reparaties</vt:lpstr>
      <vt:lpstr>DV_reparaties</vt:lpstr>
      <vt:lpstr>DV_rest_input</vt:lpstr>
      <vt:lpstr>Database!elec_price_final</vt:lpstr>
      <vt:lpstr>'Vergelijking Data'!elec_price_final</vt:lpstr>
      <vt:lpstr>elec_price_final</vt:lpstr>
      <vt:lpstr>Database!elec_price_input</vt:lpstr>
      <vt:lpstr>'Vergelijking Data'!elec_price_input</vt:lpstr>
      <vt:lpstr>elec_price_input</vt:lpstr>
      <vt:lpstr>Database!Electricity_type</vt:lpstr>
      <vt:lpstr>'Vergelijking Data'!Electricity_type</vt:lpstr>
      <vt:lpstr>Electricity_type</vt:lpstr>
      <vt:lpstr>Database!EV_age</vt:lpstr>
      <vt:lpstr>'Vergelijking Data'!EV_age</vt:lpstr>
      <vt:lpstr>EV_age</vt:lpstr>
      <vt:lpstr>EV_productive_hours</vt:lpstr>
      <vt:lpstr>Database!EV_reparaties</vt:lpstr>
      <vt:lpstr>'Vergelijking Data'!EV_reparaties</vt:lpstr>
      <vt:lpstr>EV_reparaties</vt:lpstr>
      <vt:lpstr>EV_rest_input</vt:lpstr>
      <vt:lpstr>Database!FC_age</vt:lpstr>
      <vt:lpstr>'Vergelijking Data'!FC_age</vt:lpstr>
      <vt:lpstr>FC_age</vt:lpstr>
      <vt:lpstr>FC_productivehours</vt:lpstr>
      <vt:lpstr>Database!FC_reparaties</vt:lpstr>
      <vt:lpstr>'Vergelijking Data'!FC_reparaties</vt:lpstr>
      <vt:lpstr>FC_reparaties</vt:lpstr>
      <vt:lpstr>FC_rest_input</vt:lpstr>
      <vt:lpstr>Database!fuel_price_input</vt:lpstr>
      <vt:lpstr>'Vergelijking Data'!fuel_price_input</vt:lpstr>
      <vt:lpstr>fuel_price_input</vt:lpstr>
      <vt:lpstr>Database!h2_price_final</vt:lpstr>
      <vt:lpstr>'Vergelijking Data'!h2_price_final</vt:lpstr>
      <vt:lpstr>h2_price_final</vt:lpstr>
      <vt:lpstr>Database!h2_price_input</vt:lpstr>
      <vt:lpstr>'Vergelijking Data'!h2_price_input</vt:lpstr>
      <vt:lpstr>h2_price_input</vt:lpstr>
      <vt:lpstr>Database!H2_type</vt:lpstr>
      <vt:lpstr>'Vergelijking Data'!H2_type</vt:lpstr>
      <vt:lpstr>H2_type</vt:lpstr>
      <vt:lpstr>Database!koelmachine</vt:lpstr>
      <vt:lpstr>'Vergelijking Data'!koelmachine</vt:lpstr>
      <vt:lpstr>koelmachine</vt:lpstr>
      <vt:lpstr>'Input-Output Module'!Print_Area</vt:lpstr>
      <vt:lpstr>Database!voertuigheffing_input</vt:lpstr>
      <vt:lpstr>'Vergelijking Data'!voertuigheffing_input</vt:lpstr>
      <vt:lpstr>voertuigheffing_input</vt:lpstr>
      <vt:lpstr>Database!voertuigtype_input</vt:lpstr>
      <vt:lpstr>'Vergelijking Data'!voertuigtype_input</vt:lpstr>
      <vt:lpstr>voertuigtype_input</vt:lpstr>
      <vt:lpstr>yearchange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Hermens, Servé</dc:creator>
  <cp:lastModifiedBy>J.M. van der Meer</cp:lastModifiedBy>
  <dcterms:created xsi:type="dcterms:W3CDTF">2022-06-07T14:08:32Z</dcterms:created>
  <dcterms:modified xsi:type="dcterms:W3CDTF">2023-01-25T13:41:01Z</dcterms:modified>
</cp:coreProperties>
</file>