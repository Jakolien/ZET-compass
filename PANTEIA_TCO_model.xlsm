
<file path=[Content_Types].xml><?xml version="1.0" encoding="utf-8"?>
<Types xmlns="http://schemas.openxmlformats.org/package/2006/content-types">
  <Default Extension="bin" ContentType="application/vnd.openxmlformats-officedocument.spreadsheetml.printerSettings"/>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1" defaultThemeVersion="166925"/>
  <mc:AlternateContent xmlns:mc="http://schemas.openxmlformats.org/markup-compatibility/2006">
    <mc:Choice Requires="x15">
      <x15ac:absPath xmlns:x15ac="http://schemas.microsoft.com/office/spreadsheetml/2010/11/ac" url="C:\Users\meer0084\Documents\transport_kompas\"/>
    </mc:Choice>
  </mc:AlternateContent>
  <xr:revisionPtr revIDLastSave="0" documentId="13_ncr:1_{802E6402-FF8C-4067-8AB8-6DBE1405BA21}" xr6:coauthVersionLast="36" xr6:coauthVersionMax="36" xr10:uidLastSave="{00000000-0000-0000-0000-000000000000}"/>
  <bookViews>
    <workbookView xWindow="0" yWindow="0" windowWidth="21570" windowHeight="8355" tabRatio="500" firstSheet="1" activeTab="1" xr2:uid="{00000000-000D-0000-FFFF-FFFF00000000}"/>
  </bookViews>
  <sheets>
    <sheet name="Readme" sheetId="1" r:id="rId1"/>
    <sheet name="TCO module ondernemers" sheetId="2" r:id="rId2"/>
    <sheet name="TCO module beleidsmakers" sheetId="3" r:id="rId3"/>
    <sheet name="ondernemers_calc" sheetId="4" r:id="rId4"/>
    <sheet name="Model parameters" sheetId="6" r:id="rId5"/>
    <sheet name="beleidsmakers_calc" sheetId="5" r:id="rId6"/>
    <sheet name="ondernemers_calc (2)" sheetId="7" state="hidden" r:id="rId7"/>
    <sheet name="Model parameters (2)" sheetId="8" state="hidden" r:id="rId8"/>
  </sheets>
  <definedNames>
    <definedName name="Batt_5" localSheetId="7">'Model parameters (2)'!$B$25:$B$27</definedName>
    <definedName name="Batt_5">'Model parameters'!$B$25:$B$27</definedName>
    <definedName name="Batt_6" localSheetId="7">'Model parameters (2)'!$C$25:$C$27</definedName>
    <definedName name="Batt_6">'Model parameters'!$C$25:$C$27</definedName>
    <definedName name="Batt_7" localSheetId="7">'Model parameters (2)'!$D$25:$D$27</definedName>
    <definedName name="Batt_7">'Model parameters'!$D$25:$D$27</definedName>
    <definedName name="batt_max" localSheetId="7">'Model parameters (2)'!$B$28:$D$28</definedName>
    <definedName name="batt_max">'Model parameters'!$B$28:$D$28</definedName>
    <definedName name="EC_rate" localSheetId="7">'Model parameters (2)'!$G$14:$G$20</definedName>
    <definedName name="EC_rate">'Model parameters'!$G$14:$G$20</definedName>
    <definedName name="OLE_LINK1" localSheetId="0">Readme!$A$2</definedName>
    <definedName name="OpenAt" localSheetId="0">Readme!$A$13</definedName>
    <definedName name="_xlnm.Print_Area" localSheetId="2">'TCO module beleidsmakers'!$A$39:$F$82</definedName>
    <definedName name="_xlnm.Print_Area" localSheetId="1">'TCO module ondernemers'!$A$9:$F$51</definedName>
    <definedName name="refrigeration" localSheetId="7">'Model parameters (2)'!$H$14:$H$20</definedName>
    <definedName name="refrigeration">'Model parameters'!$H$14:$H$20</definedName>
    <definedName name="solver_cvg" localSheetId="2">"""""""""""""""0.0001"""""""""""""""</definedName>
    <definedName name="solver_cvg" localSheetId="1">"""""""""""""""0.0001"""""""""""""""</definedName>
    <definedName name="solver_drv" localSheetId="2">1</definedName>
    <definedName name="solver_drv" localSheetId="1">1</definedName>
    <definedName name="solver_eng" localSheetId="2">3</definedName>
    <definedName name="solver_eng" localSheetId="1">3</definedName>
    <definedName name="solver_est" localSheetId="2">1</definedName>
    <definedName name="solver_est" localSheetId="1">1</definedName>
    <definedName name="solver_itr" localSheetId="2">2147483647</definedName>
    <definedName name="solver_itr" localSheetId="1">2147483647</definedName>
    <definedName name="solver_mip" localSheetId="2">2147483647</definedName>
    <definedName name="solver_mip" localSheetId="1">2147483647</definedName>
    <definedName name="solver_mni" localSheetId="2">30</definedName>
    <definedName name="solver_mni" localSheetId="1">30</definedName>
    <definedName name="solver_mrt" localSheetId="2">"""""""""""""""0.075"""""""""""""""</definedName>
    <definedName name="solver_mrt" localSheetId="1">"""""""""""""""0.075"""""""""""""""</definedName>
    <definedName name="solver_msl" localSheetId="2">2</definedName>
    <definedName name="solver_msl" localSheetId="1">2</definedName>
    <definedName name="solver_neg" localSheetId="2">1</definedName>
    <definedName name="solver_neg" localSheetId="1">1</definedName>
    <definedName name="solver_nod" localSheetId="2">2147483647</definedName>
    <definedName name="solver_nod" localSheetId="1">2147483647</definedName>
    <definedName name="solver_num" localSheetId="2">2</definedName>
    <definedName name="solver_num" localSheetId="1">2</definedName>
    <definedName name="solver_nwt" localSheetId="2">1</definedName>
    <definedName name="solver_nwt" localSheetId="1">1</definedName>
    <definedName name="solver_opt" localSheetId="2">'TCO module beleidsmakers'!$C$108</definedName>
    <definedName name="solver_pre" localSheetId="2">"""""""""""""""0.000001"""""""""""""""</definedName>
    <definedName name="solver_pre" localSheetId="1">"""""""""""""""0.000001"""""""""""""""</definedName>
    <definedName name="solver_rbv" localSheetId="2">1</definedName>
    <definedName name="solver_rbv" localSheetId="1">1</definedName>
    <definedName name="solver_rel1" localSheetId="2">1</definedName>
    <definedName name="solver_rel1" localSheetId="1">1</definedName>
    <definedName name="solver_rel2" localSheetId="2">3</definedName>
    <definedName name="solver_rel2" localSheetId="1">3</definedName>
    <definedName name="solver_rhs1" localSheetId="2">3</definedName>
    <definedName name="solver_rhs1" localSheetId="1">3</definedName>
    <definedName name="solver_rhs2" localSheetId="2">0</definedName>
    <definedName name="solver_rhs2" localSheetId="1">0</definedName>
    <definedName name="solver_rlx" localSheetId="2">2</definedName>
    <definedName name="solver_rlx" localSheetId="1">2</definedName>
    <definedName name="solver_rsd" localSheetId="2">0</definedName>
    <definedName name="solver_rsd" localSheetId="1">0</definedName>
    <definedName name="solver_scl" localSheetId="2">1</definedName>
    <definedName name="solver_scl" localSheetId="1">1</definedName>
    <definedName name="solver_sho" localSheetId="2">2</definedName>
    <definedName name="solver_sho" localSheetId="1">2</definedName>
    <definedName name="solver_ssz" localSheetId="2">100</definedName>
    <definedName name="solver_ssz" localSheetId="1">100</definedName>
    <definedName name="solver_tim" localSheetId="2">2147483647</definedName>
    <definedName name="solver_tim" localSheetId="1">2147483647</definedName>
    <definedName name="solver_tol" localSheetId="2">1</definedName>
    <definedName name="solver_tol" localSheetId="1">1</definedName>
    <definedName name="solver_typ" localSheetId="2">2</definedName>
    <definedName name="solver_typ" localSheetId="1">2</definedName>
    <definedName name="solver_val" localSheetId="2">0</definedName>
    <definedName name="solver_val" localSheetId="1">0</definedName>
    <definedName name="solver_ver" localSheetId="2">3</definedName>
    <definedName name="solver_ver" localSheetId="1">3</definedName>
    <definedName name="speed" localSheetId="7">'Model parameters (2)'!$D$14:$D$20</definedName>
    <definedName name="speed">'Model parameters'!$D$14:$D$20</definedName>
    <definedName name="waiting" localSheetId="7">'Model parameters (2)'!$C$14:$C$20</definedName>
    <definedName name="waiting">'Model parameters'!$C$14:$C$20</definedName>
    <definedName name="Z_3F87202A_8EBC_4AA0_83B0_6F9D78D1FE5C_.wvu.PrintArea" localSheetId="2">'TCO module beleidsmakers'!$A$9:$F$112</definedName>
    <definedName name="Z_3F87202A_8EBC_4AA0_83B0_6F9D78D1FE5C_.wvu.PrintArea" localSheetId="1">'TCO module ondernemers'!$A$9:$F$101</definedName>
  </definedNames>
  <calcPr calcId="191029"/>
  <extLst>
    <ext xmlns:loext="http://schemas.libreoffice.org/" uri="{7626C862-2A13-11E5-B345-FEFF819CDC9F}">
      <loext:extCalcPr stringRefSyntax="ExcelA1"/>
    </ext>
  </extLst>
</workbook>
</file>

<file path=xl/calcChain.xml><?xml version="1.0" encoding="utf-8"?>
<calcChain xmlns="http://schemas.openxmlformats.org/spreadsheetml/2006/main">
  <c r="E49" i="2" l="1"/>
  <c r="E59" i="2" l="1"/>
  <c r="C59" i="2"/>
  <c r="B74" i="2"/>
  <c r="E25" i="3" l="1"/>
  <c r="C21" i="2" l="1"/>
  <c r="H9" i="4"/>
  <c r="I25" i="4" l="1"/>
  <c r="I43" i="4"/>
  <c r="G36" i="8" l="1"/>
  <c r="D27" i="8"/>
  <c r="C27" i="8"/>
  <c r="B27" i="8"/>
  <c r="D26" i="8"/>
  <c r="C26" i="8"/>
  <c r="B26" i="8"/>
  <c r="D25" i="8"/>
  <c r="C25" i="8"/>
  <c r="B25" i="8"/>
  <c r="C83" i="7"/>
  <c r="B83" i="7"/>
  <c r="D61" i="7"/>
  <c r="B61" i="7"/>
  <c r="A61" i="7"/>
  <c r="D60" i="7"/>
  <c r="A60" i="7"/>
  <c r="A59" i="7"/>
  <c r="D57" i="7"/>
  <c r="A57" i="7"/>
  <c r="D56" i="7"/>
  <c r="C56" i="7"/>
  <c r="B56" i="7"/>
  <c r="A56" i="7"/>
  <c r="C38" i="7"/>
  <c r="B38" i="7"/>
  <c r="I30" i="7"/>
  <c r="D73" i="7" s="1"/>
  <c r="I28" i="7"/>
  <c r="H28" i="7"/>
  <c r="H27" i="7"/>
  <c r="H26" i="7"/>
  <c r="D25" i="7"/>
  <c r="H24" i="7"/>
  <c r="I24" i="7" s="1"/>
  <c r="H23" i="7"/>
  <c r="H21" i="7"/>
  <c r="I21" i="7" s="1"/>
  <c r="H20" i="7"/>
  <c r="I20" i="7" s="1"/>
  <c r="H18" i="7"/>
  <c r="H17" i="7"/>
  <c r="I17" i="7" s="1"/>
  <c r="I14" i="7"/>
  <c r="H14" i="7"/>
  <c r="C14" i="7"/>
  <c r="C25" i="7" s="1"/>
  <c r="B14" i="7"/>
  <c r="B25" i="7" s="1"/>
  <c r="H13" i="7"/>
  <c r="I13" i="7" s="1"/>
  <c r="C13" i="7"/>
  <c r="B13" i="7"/>
  <c r="H12" i="7"/>
  <c r="I12" i="7" s="1"/>
  <c r="H11" i="7"/>
  <c r="H10" i="7"/>
  <c r="I10" i="7" s="1"/>
  <c r="C10" i="7"/>
  <c r="B10" i="7"/>
  <c r="H7" i="7"/>
  <c r="D7" i="7"/>
  <c r="H6" i="7"/>
  <c r="D5" i="7"/>
  <c r="D4" i="7" s="1"/>
  <c r="C5" i="7"/>
  <c r="B5" i="7"/>
  <c r="H4" i="7"/>
  <c r="H3" i="7"/>
  <c r="D3" i="7"/>
  <c r="B3" i="7" s="1"/>
  <c r="J6" i="7"/>
  <c r="G36" i="6"/>
  <c r="H27" i="6"/>
  <c r="G27" i="6"/>
  <c r="F27" i="6"/>
  <c r="E27" i="6"/>
  <c r="D27" i="6"/>
  <c r="C27" i="6"/>
  <c r="B27" i="6"/>
  <c r="H26" i="6"/>
  <c r="G26" i="6"/>
  <c r="F26" i="6"/>
  <c r="E26" i="6"/>
  <c r="D26" i="6"/>
  <c r="C26" i="6"/>
  <c r="B26" i="6"/>
  <c r="H25" i="6"/>
  <c r="G25" i="6"/>
  <c r="F25" i="6"/>
  <c r="E25" i="6"/>
  <c r="D25" i="6"/>
  <c r="C25" i="6"/>
  <c r="B25" i="6"/>
  <c r="B85" i="5"/>
  <c r="B83" i="5"/>
  <c r="C61" i="5"/>
  <c r="C60" i="5"/>
  <c r="C57" i="5"/>
  <c r="C56" i="5"/>
  <c r="B56" i="5"/>
  <c r="H38" i="5"/>
  <c r="B38" i="5"/>
  <c r="H37" i="5"/>
  <c r="D70" i="2" s="1"/>
  <c r="H25" i="5"/>
  <c r="B73" i="5" s="1"/>
  <c r="C25" i="5"/>
  <c r="H24" i="5"/>
  <c r="C73" i="5" s="1"/>
  <c r="G22" i="5"/>
  <c r="C22" i="5"/>
  <c r="B22" i="5"/>
  <c r="G21" i="5"/>
  <c r="G18" i="5"/>
  <c r="H18" i="5" s="1"/>
  <c r="G17" i="5"/>
  <c r="G14" i="5"/>
  <c r="H14" i="5" s="1"/>
  <c r="B14" i="5"/>
  <c r="B25" i="5" s="1"/>
  <c r="G13" i="5"/>
  <c r="B13" i="5"/>
  <c r="G10" i="5"/>
  <c r="B10" i="5"/>
  <c r="G9" i="5"/>
  <c r="G8" i="5"/>
  <c r="G7" i="5"/>
  <c r="H7" i="5" s="1"/>
  <c r="C7" i="5"/>
  <c r="C5" i="5"/>
  <c r="C4" i="5" s="1"/>
  <c r="B5" i="5"/>
  <c r="G4" i="5"/>
  <c r="B4" i="5"/>
  <c r="G3" i="5"/>
  <c r="H3" i="5" s="1"/>
  <c r="C3" i="5"/>
  <c r="C84" i="4"/>
  <c r="B84" i="4"/>
  <c r="D62" i="4"/>
  <c r="B62" i="4"/>
  <c r="A62" i="4"/>
  <c r="D61" i="4"/>
  <c r="A61" i="4"/>
  <c r="A60" i="4"/>
  <c r="D58" i="4"/>
  <c r="A58" i="4"/>
  <c r="D57" i="4"/>
  <c r="C57" i="4"/>
  <c r="B57" i="4"/>
  <c r="A57" i="4"/>
  <c r="D42" i="4"/>
  <c r="H40" i="4"/>
  <c r="H34" i="4"/>
  <c r="I34" i="4" s="1"/>
  <c r="B6" i="4" s="1"/>
  <c r="B4" i="4" s="1"/>
  <c r="I31" i="4"/>
  <c r="D74" i="4" s="1"/>
  <c r="H29" i="4"/>
  <c r="I29" i="4" s="1"/>
  <c r="H28" i="4"/>
  <c r="H27" i="4"/>
  <c r="H25" i="4"/>
  <c r="H24" i="4"/>
  <c r="B23" i="4"/>
  <c r="I22" i="4"/>
  <c r="H22" i="4"/>
  <c r="I21" i="4"/>
  <c r="H21" i="4"/>
  <c r="H19" i="4"/>
  <c r="H18" i="4"/>
  <c r="I18" i="4" s="1"/>
  <c r="I15" i="4"/>
  <c r="H15" i="4"/>
  <c r="D15" i="4"/>
  <c r="D26" i="4" s="1"/>
  <c r="C15" i="4"/>
  <c r="C26" i="4" s="1"/>
  <c r="I14" i="4"/>
  <c r="H14" i="4"/>
  <c r="D14" i="4"/>
  <c r="B39" i="4" s="1"/>
  <c r="H13" i="4"/>
  <c r="I13" i="4" s="1"/>
  <c r="H12" i="4"/>
  <c r="H11" i="4"/>
  <c r="I11" i="4" s="1"/>
  <c r="C11" i="4"/>
  <c r="B11" i="4"/>
  <c r="H8" i="4"/>
  <c r="D8" i="4"/>
  <c r="D23" i="4" s="1"/>
  <c r="H7" i="4"/>
  <c r="H5" i="4"/>
  <c r="I5" i="4" s="1"/>
  <c r="C42" i="4" s="1"/>
  <c r="C43" i="4" s="1"/>
  <c r="D39" i="2" s="1"/>
  <c r="D5" i="4"/>
  <c r="C5" i="4"/>
  <c r="B5" i="4"/>
  <c r="H4" i="4"/>
  <c r="H3" i="4"/>
  <c r="D3" i="4"/>
  <c r="B3" i="4" s="1"/>
  <c r="B17" i="4" s="1"/>
  <c r="B18" i="4" s="1"/>
  <c r="D95" i="3"/>
  <c r="D94" i="3"/>
  <c r="D93" i="3"/>
  <c r="D86" i="3"/>
  <c r="D78" i="3"/>
  <c r="E72" i="2" s="1"/>
  <c r="B77" i="3"/>
  <c r="D76" i="3"/>
  <c r="B72" i="3"/>
  <c r="D65" i="3"/>
  <c r="D43" i="3"/>
  <c r="E23" i="3"/>
  <c r="E94" i="2"/>
  <c r="E93" i="2"/>
  <c r="E92" i="2"/>
  <c r="E85" i="2"/>
  <c r="D76" i="2"/>
  <c r="C76" i="2"/>
  <c r="B71" i="2"/>
  <c r="E70" i="2"/>
  <c r="B66" i="2"/>
  <c r="E60" i="2"/>
  <c r="E37" i="2"/>
  <c r="B28" i="2"/>
  <c r="H19" i="7" s="1"/>
  <c r="I19" i="7" s="1"/>
  <c r="I7" i="4" l="1"/>
  <c r="J7" i="4"/>
  <c r="D96" i="3"/>
  <c r="C6" i="4"/>
  <c r="C4" i="4" s="1"/>
  <c r="C77" i="3"/>
  <c r="D6" i="4"/>
  <c r="D4" i="4" s="1"/>
  <c r="C39" i="4"/>
  <c r="C14" i="4"/>
  <c r="C37" i="2"/>
  <c r="B59" i="7" s="1"/>
  <c r="J5" i="4"/>
  <c r="I6" i="7"/>
  <c r="C58" i="2"/>
  <c r="C62" i="4"/>
  <c r="C61" i="7"/>
  <c r="C71" i="2"/>
  <c r="E71" i="2"/>
  <c r="B3" i="5"/>
  <c r="B16" i="5" s="1"/>
  <c r="C59" i="5"/>
  <c r="C19" i="5"/>
  <c r="I4" i="5" s="1"/>
  <c r="B22" i="7"/>
  <c r="D22" i="7"/>
  <c r="C22" i="7"/>
  <c r="D60" i="4"/>
  <c r="D59" i="7"/>
  <c r="D71" i="2"/>
  <c r="C3" i="4"/>
  <c r="C17" i="4" s="1"/>
  <c r="C93" i="2"/>
  <c r="D20" i="4"/>
  <c r="I12" i="4" s="1"/>
  <c r="C44" i="4"/>
  <c r="C76" i="3"/>
  <c r="H20" i="4"/>
  <c r="I20" i="4" s="1"/>
  <c r="E95" i="2"/>
  <c r="B15" i="4"/>
  <c r="B26" i="4" s="1"/>
  <c r="C4" i="7"/>
  <c r="B4" i="7"/>
  <c r="C70" i="2"/>
  <c r="D77" i="3"/>
  <c r="C23" i="4"/>
  <c r="C3" i="7"/>
  <c r="D19" i="7"/>
  <c r="I11" i="7" s="1"/>
  <c r="B14" i="4"/>
  <c r="C95" i="2" l="1"/>
  <c r="C94" i="2"/>
  <c r="C92" i="2"/>
  <c r="C23" i="2"/>
  <c r="J9" i="4"/>
  <c r="I9" i="4"/>
  <c r="J12" i="4"/>
  <c r="B60" i="4"/>
  <c r="D37" i="2"/>
  <c r="C18" i="4"/>
  <c r="I31" i="7"/>
  <c r="J11" i="7"/>
  <c r="B19" i="5"/>
  <c r="C9" i="5"/>
  <c r="B9" i="5" s="1"/>
  <c r="H32" i="5"/>
  <c r="D21" i="5"/>
  <c r="B66" i="3"/>
  <c r="B62" i="3"/>
  <c r="C21" i="5"/>
  <c r="B74" i="3"/>
  <c r="D74" i="3" s="1"/>
  <c r="D20" i="5"/>
  <c r="D23" i="5" s="1"/>
  <c r="D64" i="3"/>
  <c r="D22" i="5"/>
  <c r="D63" i="3"/>
  <c r="C8" i="5"/>
  <c r="B80" i="3"/>
  <c r="D75" i="3"/>
  <c r="B61" i="3"/>
  <c r="D61" i="3" s="1"/>
  <c r="B71" i="3"/>
  <c r="D71" i="3" s="1"/>
  <c r="H4" i="5"/>
  <c r="B17" i="5"/>
  <c r="C43" i="3"/>
  <c r="C19" i="7"/>
  <c r="E20" i="7"/>
  <c r="E23" i="7" s="1"/>
  <c r="B19" i="7"/>
  <c r="D74" i="7"/>
  <c r="D9" i="7"/>
  <c r="D21" i="7"/>
  <c r="E22" i="7"/>
  <c r="E21" i="7"/>
  <c r="I38" i="7"/>
  <c r="I39" i="7" s="1"/>
  <c r="D8" i="7"/>
  <c r="D11" i="7" s="1"/>
  <c r="E23" i="4"/>
  <c r="H42" i="4" s="1"/>
  <c r="I42" i="4" s="1"/>
  <c r="D10" i="4"/>
  <c r="B69" i="2"/>
  <c r="E69" i="2" s="1"/>
  <c r="B57" i="2"/>
  <c r="I39" i="4"/>
  <c r="I40" i="4" s="1"/>
  <c r="E22" i="4"/>
  <c r="I16" i="4"/>
  <c r="D9" i="4"/>
  <c r="B68" i="2"/>
  <c r="E68" i="2" s="1"/>
  <c r="E21" i="4"/>
  <c r="E24" i="4" s="1"/>
  <c r="D22" i="4"/>
  <c r="B65" i="2"/>
  <c r="E65" i="2" s="1"/>
  <c r="B61" i="2"/>
  <c r="B20" i="4"/>
  <c r="B56" i="2"/>
  <c r="E56" i="2" s="1"/>
  <c r="C20" i="4"/>
  <c r="D75" i="4"/>
  <c r="I32" i="4"/>
  <c r="C11" i="7" l="1"/>
  <c r="B11" i="7"/>
  <c r="D12" i="7"/>
  <c r="D6" i="7" s="1"/>
  <c r="D20" i="7" s="1"/>
  <c r="C73" i="7"/>
  <c r="B73" i="7"/>
  <c r="E58" i="2"/>
  <c r="E78" i="2"/>
  <c r="C53" i="4"/>
  <c r="C22" i="4"/>
  <c r="I30" i="4"/>
  <c r="C74" i="2"/>
  <c r="E74" i="2"/>
  <c r="D74" i="2"/>
  <c r="C52" i="7"/>
  <c r="C21" i="7"/>
  <c r="C80" i="3"/>
  <c r="D80" i="3"/>
  <c r="D62" i="3"/>
  <c r="C62" i="3"/>
  <c r="D57" i="2"/>
  <c r="E57" i="2"/>
  <c r="C57" i="2"/>
  <c r="B8" i="5"/>
  <c r="C11" i="5"/>
  <c r="D59" i="2"/>
  <c r="I24" i="4"/>
  <c r="F21" i="2"/>
  <c r="D58" i="2"/>
  <c r="J24" i="4"/>
  <c r="E79" i="2"/>
  <c r="J19" i="4"/>
  <c r="I19" i="4"/>
  <c r="D67" i="3"/>
  <c r="B53" i="4"/>
  <c r="I33" i="4"/>
  <c r="B22" i="4"/>
  <c r="E81" i="2"/>
  <c r="B9" i="7"/>
  <c r="C9" i="7"/>
  <c r="B59" i="5"/>
  <c r="B23" i="3"/>
  <c r="C59" i="7"/>
  <c r="C60" i="4"/>
  <c r="E61" i="2"/>
  <c r="D61" i="2"/>
  <c r="C61" i="2"/>
  <c r="C9" i="4"/>
  <c r="B9" i="4"/>
  <c r="D12" i="4"/>
  <c r="C10" i="4"/>
  <c r="B10" i="4"/>
  <c r="I13" i="5"/>
  <c r="H8" i="5"/>
  <c r="C64" i="3"/>
  <c r="C24" i="3"/>
  <c r="C63" i="3"/>
  <c r="I8" i="5"/>
  <c r="H13" i="5"/>
  <c r="H33" i="5"/>
  <c r="D70" i="3" s="1"/>
  <c r="C74" i="4"/>
  <c r="B74" i="4"/>
  <c r="C8" i="7"/>
  <c r="B8" i="7"/>
  <c r="B52" i="7"/>
  <c r="B21" i="7"/>
  <c r="B52" i="5"/>
  <c r="B21" i="5"/>
  <c r="C74" i="5"/>
  <c r="C62" i="2" l="1"/>
  <c r="E62" i="2"/>
  <c r="E63" i="2" s="1"/>
  <c r="D26" i="7"/>
  <c r="D27" i="7" s="1"/>
  <c r="D28" i="7" s="1"/>
  <c r="J3" i="7"/>
  <c r="I3" i="7"/>
  <c r="E80" i="2"/>
  <c r="D62" i="2"/>
  <c r="C12" i="4"/>
  <c r="B12" i="4"/>
  <c r="D13" i="4"/>
  <c r="I41" i="4"/>
  <c r="E24" i="2"/>
  <c r="C67" i="3"/>
  <c r="I35" i="7"/>
  <c r="C12" i="7"/>
  <c r="C6" i="7" s="1"/>
  <c r="B12" i="7"/>
  <c r="B6" i="7" s="1"/>
  <c r="C12" i="5"/>
  <c r="B11" i="5"/>
  <c r="H34" i="5"/>
  <c r="C70" i="3" s="1"/>
  <c r="B26" i="3"/>
  <c r="B12" i="5" l="1"/>
  <c r="B6" i="5" s="1"/>
  <c r="H29" i="5"/>
  <c r="D72" i="3" s="1"/>
  <c r="C6" i="5"/>
  <c r="C20" i="5" s="1"/>
  <c r="D78" i="2"/>
  <c r="C78" i="2"/>
  <c r="B20" i="7"/>
  <c r="C20" i="7"/>
  <c r="D29" i="7"/>
  <c r="D30" i="7" s="1"/>
  <c r="I4" i="7"/>
  <c r="J4" i="7"/>
  <c r="I35" i="4"/>
  <c r="E66" i="2" s="1"/>
  <c r="C13" i="4"/>
  <c r="B13" i="4"/>
  <c r="D7" i="4"/>
  <c r="D21" i="4" s="1"/>
  <c r="B8" i="4" l="1"/>
  <c r="B7" i="4"/>
  <c r="C26" i="7"/>
  <c r="C27" i="7" s="1"/>
  <c r="C16" i="7"/>
  <c r="C17" i="7" s="1"/>
  <c r="C8" i="4"/>
  <c r="C7" i="4"/>
  <c r="B26" i="7"/>
  <c r="B27" i="7" s="1"/>
  <c r="B45" i="7"/>
  <c r="B16" i="7"/>
  <c r="B17" i="7" s="1"/>
  <c r="E76" i="2"/>
  <c r="D63" i="7"/>
  <c r="D64" i="4"/>
  <c r="H9" i="5"/>
  <c r="B20" i="5" s="1"/>
  <c r="C26" i="5"/>
  <c r="C27" i="5" s="1"/>
  <c r="C28" i="5" s="1"/>
  <c r="C28" i="7"/>
  <c r="C29" i="7" s="1"/>
  <c r="B28" i="7"/>
  <c r="B29" i="7" s="1"/>
  <c r="C63" i="5"/>
  <c r="D27" i="4"/>
  <c r="D28" i="4" s="1"/>
  <c r="D29" i="4" s="1"/>
  <c r="J3" i="4"/>
  <c r="I3" i="4"/>
  <c r="J23" i="7" l="1"/>
  <c r="I18" i="7"/>
  <c r="I23" i="7"/>
  <c r="J18" i="7"/>
  <c r="J7" i="7"/>
  <c r="B30" i="7"/>
  <c r="B33" i="7" s="1"/>
  <c r="B34" i="7" s="1"/>
  <c r="I7" i="7"/>
  <c r="C30" i="7"/>
  <c r="C33" i="7" s="1"/>
  <c r="C34" i="7" s="1"/>
  <c r="I26" i="7"/>
  <c r="I27" i="7"/>
  <c r="C21" i="4"/>
  <c r="B21" i="4"/>
  <c r="B26" i="5"/>
  <c r="B27" i="5" s="1"/>
  <c r="D30" i="4"/>
  <c r="D31" i="4" s="1"/>
  <c r="J4" i="4"/>
  <c r="I4" i="4"/>
  <c r="D65" i="4"/>
  <c r="D79" i="4" s="1"/>
  <c r="D67" i="4"/>
  <c r="D81" i="4" s="1"/>
  <c r="D66" i="4"/>
  <c r="C65" i="5"/>
  <c r="C64" i="5"/>
  <c r="C78" i="5" s="1"/>
  <c r="C66" i="5"/>
  <c r="C80" i="5" s="1"/>
  <c r="C29" i="5"/>
  <c r="C30" i="5" s="1"/>
  <c r="H10" i="5"/>
  <c r="B28" i="5" s="1"/>
  <c r="B29" i="5" s="1"/>
  <c r="D64" i="7"/>
  <c r="D78" i="7" s="1"/>
  <c r="D83" i="7" s="1"/>
  <c r="D66" i="7"/>
  <c r="D80" i="7" s="1"/>
  <c r="D85" i="7" s="1"/>
  <c r="D65" i="7"/>
  <c r="I40" i="7" l="1"/>
  <c r="D79" i="7"/>
  <c r="D84" i="7"/>
  <c r="D85" i="4"/>
  <c r="D80" i="4"/>
  <c r="D86" i="4"/>
  <c r="E51" i="2" s="1"/>
  <c r="B53" i="7"/>
  <c r="B37" i="7"/>
  <c r="B46" i="7" s="1"/>
  <c r="B48" i="7" s="1"/>
  <c r="I21" i="5"/>
  <c r="C34" i="3" s="1"/>
  <c r="C29" i="3"/>
  <c r="B30" i="5"/>
  <c r="I17" i="5"/>
  <c r="H21" i="5"/>
  <c r="B36" i="3" s="1"/>
  <c r="H17" i="5"/>
  <c r="B31" i="3" s="1"/>
  <c r="C84" i="3" s="1"/>
  <c r="C29" i="4"/>
  <c r="C30" i="4" s="1"/>
  <c r="B29" i="4"/>
  <c r="B30" i="4" s="1"/>
  <c r="J8" i="4" s="1"/>
  <c r="B27" i="4"/>
  <c r="B46" i="4"/>
  <c r="D84" i="4"/>
  <c r="E73" i="2" s="1"/>
  <c r="E75" i="2" s="1"/>
  <c r="E87" i="2" s="1"/>
  <c r="C46" i="4"/>
  <c r="C27" i="4"/>
  <c r="D57" i="3"/>
  <c r="C85" i="5"/>
  <c r="C83" i="5"/>
  <c r="D55" i="3"/>
  <c r="D79" i="3" s="1"/>
  <c r="D81" i="3" s="1"/>
  <c r="D88" i="3" s="1"/>
  <c r="C84" i="5"/>
  <c r="C79" i="5"/>
  <c r="D56" i="3" s="1"/>
  <c r="C53" i="7"/>
  <c r="C37" i="7"/>
  <c r="E50" i="2" l="1"/>
  <c r="D84" i="2"/>
  <c r="I28" i="4"/>
  <c r="C31" i="4"/>
  <c r="D38" i="2"/>
  <c r="I27" i="4"/>
  <c r="E88" i="2"/>
  <c r="E97" i="2"/>
  <c r="E89" i="2"/>
  <c r="I8" i="4"/>
  <c r="B67" i="2" s="1"/>
  <c r="C84" i="2"/>
  <c r="B31" i="4"/>
  <c r="C38" i="2"/>
  <c r="C28" i="4"/>
  <c r="C32" i="4"/>
  <c r="D98" i="3"/>
  <c r="D90" i="3"/>
  <c r="D89" i="3"/>
  <c r="C40" i="7"/>
  <c r="C41" i="7" s="1"/>
  <c r="C85" i="3"/>
  <c r="C44" i="3"/>
  <c r="B60" i="5" s="1"/>
  <c r="B33" i="5"/>
  <c r="B34" i="5" s="1"/>
  <c r="B32" i="4"/>
  <c r="B28" i="4"/>
  <c r="E30" i="2" l="1"/>
  <c r="C47" i="3"/>
  <c r="C48" i="3" s="1"/>
  <c r="B53" i="5"/>
  <c r="B37" i="5"/>
  <c r="D100" i="3"/>
  <c r="D99" i="3"/>
  <c r="D103" i="3"/>
  <c r="D105" i="3"/>
  <c r="D104" i="3"/>
  <c r="E44" i="2"/>
  <c r="E99" i="2"/>
  <c r="E98" i="2"/>
  <c r="B60" i="7"/>
  <c r="B61" i="4"/>
  <c r="B34" i="4"/>
  <c r="C60" i="7"/>
  <c r="C61" i="4"/>
  <c r="C22" i="2"/>
  <c r="F27" i="2"/>
  <c r="F28" i="2"/>
  <c r="C34" i="4"/>
  <c r="C46" i="7"/>
  <c r="C42" i="7"/>
  <c r="C43" i="7" s="1"/>
  <c r="C45" i="7"/>
  <c r="C39" i="7" s="1"/>
  <c r="C83" i="2" l="1"/>
  <c r="D83" i="2"/>
  <c r="D106" i="3"/>
  <c r="D108" i="3" s="1"/>
  <c r="D110" i="3" s="1"/>
  <c r="B50" i="4"/>
  <c r="B36" i="4"/>
  <c r="B49" i="4"/>
  <c r="C35" i="2" s="1"/>
  <c r="B35" i="4"/>
  <c r="B40" i="5"/>
  <c r="B41" i="5" s="1"/>
  <c r="E46" i="2"/>
  <c r="E45" i="2"/>
  <c r="C47" i="7"/>
  <c r="C48" i="7"/>
  <c r="C54" i="7" s="1"/>
  <c r="C35" i="4"/>
  <c r="C36" i="4"/>
  <c r="C50" i="4"/>
  <c r="D109" i="3" l="1"/>
  <c r="D50" i="3"/>
  <c r="D52" i="3" s="1"/>
  <c r="B54" i="4"/>
  <c r="B38" i="4"/>
  <c r="B47" i="4" s="1"/>
  <c r="C79" i="2"/>
  <c r="C80" i="2" s="1"/>
  <c r="D79" i="2"/>
  <c r="D80" i="2" s="1"/>
  <c r="C54" i="4"/>
  <c r="D41" i="2"/>
  <c r="D42" i="2" s="1"/>
  <c r="C38" i="4"/>
  <c r="B57" i="7"/>
  <c r="B58" i="4"/>
  <c r="C67" i="2"/>
  <c r="C63" i="2"/>
  <c r="C69" i="2"/>
  <c r="C68" i="2"/>
  <c r="C85" i="2"/>
  <c r="B46" i="5"/>
  <c r="B42" i="5"/>
  <c r="B43" i="5" s="1"/>
  <c r="C45" i="3" s="1"/>
  <c r="B61" i="5" s="1"/>
  <c r="B45" i="5"/>
  <c r="B39" i="5" s="1"/>
  <c r="D51" i="3"/>
  <c r="C81" i="2" l="1"/>
  <c r="B74" i="7"/>
  <c r="B84" i="7" s="1"/>
  <c r="B68" i="7"/>
  <c r="B71" i="7" s="1"/>
  <c r="B80" i="7" s="1"/>
  <c r="B48" i="5"/>
  <c r="B47" i="5"/>
  <c r="B68" i="5"/>
  <c r="C41" i="4"/>
  <c r="C40" i="4"/>
  <c r="C47" i="4"/>
  <c r="B75" i="4"/>
  <c r="B85" i="4" s="1"/>
  <c r="B69" i="4"/>
  <c r="B72" i="4" s="1"/>
  <c r="B81" i="4" s="1"/>
  <c r="C51" i="2" s="1"/>
  <c r="B71" i="4" l="1"/>
  <c r="B80" i="4" s="1"/>
  <c r="C50" i="2" s="1"/>
  <c r="B69" i="7"/>
  <c r="B78" i="7" s="1"/>
  <c r="B70" i="7"/>
  <c r="B79" i="7" s="1"/>
  <c r="B70" i="4"/>
  <c r="B79" i="4" s="1"/>
  <c r="C49" i="2" s="1"/>
  <c r="C73" i="2" s="1"/>
  <c r="C75" i="2" s="1"/>
  <c r="C87" i="2" s="1"/>
  <c r="C94" i="3"/>
  <c r="C95" i="3"/>
  <c r="C93" i="3"/>
  <c r="B54" i="5"/>
  <c r="C41" i="3"/>
  <c r="C48" i="4"/>
  <c r="C49" i="4"/>
  <c r="C55" i="4" s="1"/>
  <c r="C89" i="2" l="1"/>
  <c r="C88" i="2"/>
  <c r="C97" i="2"/>
  <c r="B57" i="5"/>
  <c r="C86" i="3"/>
  <c r="C74" i="3"/>
  <c r="C73" i="3"/>
  <c r="C75" i="3"/>
  <c r="D35" i="2"/>
  <c r="C96" i="3"/>
  <c r="D93" i="2"/>
  <c r="D92" i="2"/>
  <c r="D94" i="2"/>
  <c r="C44" i="2" l="1"/>
  <c r="C99" i="2"/>
  <c r="C98" i="2"/>
  <c r="D95" i="2"/>
  <c r="C57" i="7"/>
  <c r="C58" i="4"/>
  <c r="D85" i="2"/>
  <c r="D69" i="2"/>
  <c r="D67" i="2"/>
  <c r="D63" i="2"/>
  <c r="D68" i="2"/>
  <c r="B74" i="5"/>
  <c r="B84" i="5" s="1"/>
  <c r="B71" i="5"/>
  <c r="B80" i="5" s="1"/>
  <c r="C57" i="3" s="1"/>
  <c r="B70" i="5"/>
  <c r="B69" i="5"/>
  <c r="B78" i="5" s="1"/>
  <c r="C55" i="3" s="1"/>
  <c r="C79" i="3" s="1"/>
  <c r="C81" i="3" s="1"/>
  <c r="C88" i="3" s="1"/>
  <c r="C46" i="2" l="1"/>
  <c r="C45" i="2"/>
  <c r="B79" i="5"/>
  <c r="C56" i="3" s="1"/>
  <c r="C89" i="3"/>
  <c r="C98" i="3"/>
  <c r="C90" i="3"/>
  <c r="D81" i="2"/>
  <c r="C75" i="4"/>
  <c r="C85" i="4" s="1"/>
  <c r="C69" i="4"/>
  <c r="C72" i="4" s="1"/>
  <c r="C81" i="4" s="1"/>
  <c r="D51" i="2" s="1"/>
  <c r="C68" i="7"/>
  <c r="C71" i="7" s="1"/>
  <c r="C80" i="7" s="1"/>
  <c r="C74" i="7"/>
  <c r="C84" i="7" s="1"/>
  <c r="C71" i="4" l="1"/>
  <c r="C80" i="4" s="1"/>
  <c r="D50" i="2" s="1"/>
  <c r="C70" i="4"/>
  <c r="C79" i="4" s="1"/>
  <c r="D49" i="2" s="1"/>
  <c r="D73" i="2" s="1"/>
  <c r="D75" i="2" s="1"/>
  <c r="D87" i="2" s="1"/>
  <c r="C69" i="7"/>
  <c r="C78" i="7" s="1"/>
  <c r="C70" i="7"/>
  <c r="C79" i="7" s="1"/>
  <c r="C105" i="3"/>
  <c r="C99" i="3"/>
  <c r="C100" i="3"/>
  <c r="C103" i="3"/>
  <c r="C104" i="3"/>
  <c r="C106" i="3" l="1"/>
  <c r="C108" i="3" s="1"/>
  <c r="C110" i="3" s="1"/>
  <c r="D88" i="2"/>
  <c r="D97" i="2"/>
  <c r="D89" i="2"/>
  <c r="C109" i="3" l="1"/>
  <c r="C50" i="3"/>
  <c r="C52" i="3" s="1"/>
  <c r="D99" i="2"/>
  <c r="D98" i="2"/>
  <c r="D44" i="2"/>
  <c r="C51" i="3" l="1"/>
  <c r="D46" i="2"/>
  <c r="D4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2" authorId="0" shapeId="0" xr:uid="{00000000-0006-0000-0100-000005000000}">
      <text>
        <r>
          <rPr>
            <sz val="8.5"/>
            <color rgb="FF000000"/>
            <rFont val="Verdana"/>
            <family val="2"/>
            <charset val="1"/>
          </rPr>
          <t xml:space="preserve">Verplichte invoer
</t>
        </r>
        <r>
          <rPr>
            <sz val="9"/>
            <color rgb="FF000000"/>
            <rFont val="Tahoma"/>
            <family val="2"/>
            <charset val="1"/>
          </rPr>
          <t>Selecteer hier het voertuig waarvoor de berekeningen gemaakt moeten worden.</t>
        </r>
      </text>
    </comment>
    <comment ref="E12" authorId="0" shapeId="0" xr:uid="{00000000-0006-0000-0100-00000E000000}">
      <text>
        <r>
          <rPr>
            <sz val="9"/>
            <color rgb="FF000000"/>
            <rFont val="Tahoma"/>
            <family val="2"/>
            <charset val="1"/>
          </rPr>
          <t>Leeg laten indien defaultwaarden worden gebruikt.</t>
        </r>
      </text>
    </comment>
    <comment ref="B13" authorId="0" shapeId="0" xr:uid="{00000000-0006-0000-0100-000006000000}">
      <text>
        <r>
          <rPr>
            <sz val="8.5"/>
            <color rgb="FF000000"/>
            <rFont val="Verdana"/>
            <family val="2"/>
            <charset val="1"/>
          </rPr>
          <t xml:space="preserve">Verplichte invoer
</t>
        </r>
        <r>
          <rPr>
            <sz val="9"/>
            <color rgb="FF000000"/>
            <rFont val="Tahoma"/>
            <family val="2"/>
            <charset val="1"/>
          </rPr>
          <t>Een koelmachine gaat ten koste van de actiereadius van het voertuig.</t>
        </r>
      </text>
    </comment>
    <comment ref="E13" authorId="0" shapeId="0" xr:uid="{00000000-0006-0000-0100-00000F000000}">
      <text>
        <r>
          <rPr>
            <sz val="9"/>
            <color rgb="FF000000"/>
            <rFont val="Tahoma"/>
            <family val="2"/>
            <charset val="1"/>
          </rPr>
          <t>Leeg laten indien defaultwaarden worden gebruikt.</t>
        </r>
      </text>
    </comment>
    <comment ref="B14" authorId="0" shapeId="0" xr:uid="{00000000-0006-0000-0100-000007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4" authorId="0" shapeId="0" xr:uid="{00000000-0006-0000-0100-000010000000}">
      <text>
        <r>
          <rPr>
            <sz val="8.5"/>
            <color rgb="FF000000"/>
            <rFont val="Verdana"/>
            <family val="2"/>
            <charset val="1"/>
          </rPr>
          <t xml:space="preserve">J.M. van der Meer:
</t>
        </r>
        <r>
          <rPr>
            <sz val="9"/>
            <color rgb="FF000000"/>
            <rFont val="Tahoma"/>
            <family val="2"/>
            <charset val="1"/>
          </rPr>
          <t xml:space="preserve">Leeg laten indien default waarde wordt gebruikt.
</t>
        </r>
      </text>
    </comment>
    <comment ref="E15" authorId="0" shapeId="0" xr:uid="{00000000-0006-0000-0100-000011000000}">
      <text>
        <r>
          <rPr>
            <sz val="8.5"/>
            <color rgb="FF000000"/>
            <rFont val="Verdana"/>
            <family val="2"/>
            <charset val="1"/>
          </rPr>
          <t xml:space="preserve">J.M. van der Meer:
</t>
        </r>
        <r>
          <rPr>
            <sz val="9"/>
            <color rgb="FF000000"/>
            <rFont val="Tahoma"/>
            <family val="2"/>
            <charset val="1"/>
          </rPr>
          <t>Leeg laten indien default waarde wordt gebruikt</t>
        </r>
      </text>
    </comment>
    <comment ref="B16" authorId="0" shapeId="0" xr:uid="{00000000-0006-0000-0100-000008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6" authorId="0" shapeId="0" xr:uid="{00000000-0006-0000-0100-000012000000}">
      <text>
        <r>
          <rPr>
            <sz val="8.5"/>
            <color rgb="FF000000"/>
            <rFont val="Verdana"/>
            <family val="2"/>
            <charset val="1"/>
          </rPr>
          <t xml:space="preserve">J.M. van der Meer:
</t>
        </r>
        <r>
          <rPr>
            <sz val="9"/>
            <color rgb="FF000000"/>
            <rFont val="Tahoma"/>
            <family val="2"/>
            <charset val="1"/>
          </rPr>
          <t xml:space="preserve">Leeg laten indien default waarde wordt gebruikt.
</t>
        </r>
      </text>
    </comment>
    <comment ref="A18" authorId="0" shapeId="0" xr:uid="{00000000-0006-0000-0100-000001000000}">
      <text>
        <r>
          <rPr>
            <sz val="9"/>
            <color rgb="FF000000"/>
            <rFont val="Tahoma"/>
            <family val="2"/>
            <charset val="1"/>
          </rPr>
          <t>De hieronder vermelde standaardwaarden kunt u overschrijven met uw eigen gegevens.</t>
        </r>
      </text>
    </comment>
    <comment ref="E21" authorId="0" shapeId="0" xr:uid="{00000000-0006-0000-0100-000013000000}">
      <text>
        <r>
          <rPr>
            <sz val="9"/>
            <color rgb="FF000000"/>
            <rFont val="Tahoma"/>
            <family val="2"/>
            <charset val="1"/>
          </rPr>
          <t>Leeg laten indien defaultwaarden worden gebruikt.</t>
        </r>
      </text>
    </comment>
    <comment ref="A22" authorId="0" shapeId="0" xr:uid="{00000000-0006-0000-0100-000002000000}">
      <text>
        <r>
          <rPr>
            <sz val="9"/>
            <color rgb="FF000000"/>
            <rFont val="Tahoma"/>
            <family val="2"/>
            <charset val="1"/>
          </rPr>
          <t>Uitsluitend in geval van een eigen laadsysteem.</t>
        </r>
      </text>
    </comment>
    <comment ref="E22" authorId="0" shapeId="0" xr:uid="{00000000-0006-0000-0100-000014000000}">
      <text>
        <r>
          <rPr>
            <sz val="9"/>
            <color rgb="FF000000"/>
            <rFont val="Tahoma"/>
            <family val="2"/>
            <charset val="1"/>
          </rPr>
          <t>Leeg laten indien defaultwaarden worden gebruikt.</t>
        </r>
      </text>
    </comment>
    <comment ref="E23" authorId="0" shapeId="0" xr:uid="{00000000-0006-0000-0100-000015000000}">
      <text>
        <r>
          <rPr>
            <sz val="9"/>
            <color rgb="FF000000"/>
            <rFont val="Tahoma"/>
            <family val="2"/>
            <charset val="1"/>
          </rPr>
          <t xml:space="preserve">Het totaalbedrag aan te ontvangen subsidies.
</t>
        </r>
      </text>
    </comment>
    <comment ref="A27" authorId="0" shapeId="0" xr:uid="{00000000-0006-0000-0100-000003000000}">
      <text>
        <r>
          <rPr>
            <sz val="9"/>
            <color rgb="FF000000"/>
            <rFont val="Tahoma"/>
            <family val="2"/>
            <charset val="1"/>
          </rPr>
          <t xml:space="preserve">Leeg laten indien defaultwaarden worden gebruikt.
</t>
        </r>
      </text>
    </comment>
    <comment ref="B27" authorId="0" shapeId="0" xr:uid="{00000000-0006-0000-0100-000009000000}">
      <text>
        <r>
          <rPr>
            <sz val="9"/>
            <color rgb="FF000000"/>
            <rFont val="Tahoma"/>
            <family val="2"/>
            <charset val="1"/>
          </rPr>
          <t>Leeg laten indien defaultwaarden worden gebruikt.</t>
        </r>
      </text>
    </comment>
    <comment ref="C27" authorId="0" shapeId="0" xr:uid="{00000000-0006-0000-0100-00000A000000}">
      <text>
        <r>
          <rPr>
            <sz val="9"/>
            <color rgb="FF000000"/>
            <rFont val="Tahoma"/>
            <family val="2"/>
            <charset val="1"/>
          </rPr>
          <t xml:space="preserve">Leeg laten indien defaultwaarden worden gebruikt.
</t>
        </r>
      </text>
    </comment>
    <comment ref="D27" authorId="0" shapeId="0" xr:uid="{00000000-0006-0000-0100-00000D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E27" authorId="0" shapeId="0" xr:uid="{00000000-0006-0000-0100-000016000000}">
      <text>
        <r>
          <rPr>
            <sz val="9"/>
            <color rgb="FF000000"/>
            <rFont val="Tahoma"/>
            <family val="2"/>
            <charset val="1"/>
          </rPr>
          <t>Leeg laten indien defaultwaarden worden gebruikt.</t>
        </r>
      </text>
    </comment>
    <comment ref="A30" authorId="0" shapeId="0" xr:uid="{00000000-0006-0000-0100-000004000000}">
      <text>
        <r>
          <rPr>
            <sz val="9"/>
            <color rgb="FF000000"/>
            <rFont val="Tahoma"/>
            <family val="2"/>
            <charset val="1"/>
          </rPr>
          <t xml:space="preserve">Aantal dagen per jaar voor reparatie en onderhoud.
</t>
        </r>
      </text>
    </comment>
    <comment ref="C37" authorId="0" shapeId="0" xr:uid="{00000000-0006-0000-0100-00000B000000}">
      <text>
        <r>
          <rPr>
            <sz val="9"/>
            <color rgb="FF000000"/>
            <rFont val="Tahoma"/>
            <family val="2"/>
            <charset val="1"/>
          </rPr>
          <t>Hierbij wordt tevens het optimale vermogen van de batterij weergegeven (in kWh).</t>
        </r>
      </text>
    </comment>
    <comment ref="C38" authorId="0" shapeId="0" xr:uid="{00000000-0006-0000-0100-00000C000000}">
      <text>
        <r>
          <rPr>
            <sz val="9"/>
            <color rgb="FF000000"/>
            <rFont val="Tahoma"/>
            <family val="2"/>
            <charset val="1"/>
          </rPr>
          <t>Het getal geeft het maximale oplaadvermogen van de "laadpaal".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11" authorId="0" shapeId="0" xr:uid="{00000000-0006-0000-0200-000009000000}">
      <text>
        <r>
          <rPr>
            <sz val="9"/>
            <color rgb="FF000000"/>
            <rFont val="Tahoma"/>
            <family val="2"/>
            <charset val="1"/>
          </rPr>
          <t>De hieronder vermelde standaardwaarden kunt u overschrijven met uw eigen gegevens.</t>
        </r>
      </text>
    </comment>
    <comment ref="B12" authorId="0" shapeId="0" xr:uid="{00000000-0006-0000-0200-000004000000}">
      <text>
        <r>
          <rPr>
            <sz val="8.5"/>
            <color rgb="FF000000"/>
            <rFont val="Verdana"/>
            <family val="2"/>
            <charset val="1"/>
          </rPr>
          <t xml:space="preserve">Verplichte invoer
</t>
        </r>
        <r>
          <rPr>
            <sz val="9"/>
            <color rgb="FF000000"/>
            <rFont val="Tahoma"/>
            <family val="2"/>
            <charset val="1"/>
          </rPr>
          <t xml:space="preserve">Selecteer hier het voertuig waarvoor de berekeningen gemaakt moeten worden.
</t>
        </r>
      </text>
    </comment>
    <comment ref="B13" authorId="0" shapeId="0" xr:uid="{00000000-0006-0000-0200-000005000000}">
      <text>
        <r>
          <rPr>
            <sz val="8.5"/>
            <color rgb="FF000000"/>
            <rFont val="Verdana"/>
            <family val="2"/>
            <charset val="1"/>
          </rPr>
          <t xml:space="preserve">Verplichte invoer
</t>
        </r>
        <r>
          <rPr>
            <sz val="9"/>
            <color rgb="FF000000"/>
            <rFont val="Tahoma"/>
            <family val="2"/>
            <charset val="1"/>
          </rPr>
          <t xml:space="preserve">Een koelmachine gaat ten koste van de actiereadius van het voertuig.
</t>
        </r>
      </text>
    </comment>
    <comment ref="B14" authorId="0" shapeId="0" xr:uid="{00000000-0006-0000-0200-000006000000}">
      <text>
        <r>
          <rPr>
            <sz val="8.5"/>
            <color rgb="FF000000"/>
            <rFont val="Verdana"/>
            <family val="2"/>
            <charset val="1"/>
          </rPr>
          <t xml:space="preserve">Verplichte invoer
</t>
        </r>
        <r>
          <rPr>
            <sz val="9"/>
            <color rgb="FF000000"/>
            <rFont val="Tahoma"/>
            <family val="2"/>
            <charset val="1"/>
          </rPr>
          <t xml:space="preserve">Geef hier het verwachte jaarkilometrage van het voertuig.
</t>
        </r>
      </text>
    </comment>
    <comment ref="E14" authorId="0" shapeId="0" xr:uid="{00000000-0006-0000-0200-00000A000000}">
      <text>
        <r>
          <rPr>
            <sz val="8.5"/>
            <color rgb="FF000000"/>
            <rFont val="Verdana"/>
            <family val="2"/>
            <charset val="1"/>
          </rPr>
          <t xml:space="preserve">Leeg laten indien defaultwaarden worden gebruikt.
</t>
        </r>
      </text>
    </comment>
    <comment ref="F14" authorId="0" shapeId="0" xr:uid="{00000000-0006-0000-0200-00000E000000}">
      <text>
        <r>
          <rPr>
            <sz val="8.5"/>
            <color rgb="FF000000"/>
            <rFont val="Verdana"/>
            <family val="2"/>
            <charset val="1"/>
          </rPr>
          <t xml:space="preserve">Leeg laten indien defaultwaarden worden gebruikt.
</t>
        </r>
      </text>
    </comment>
    <comment ref="E16" authorId="0" shapeId="0" xr:uid="{00000000-0006-0000-0200-00000B000000}">
      <text>
        <r>
          <rPr>
            <sz val="9"/>
            <color rgb="FF000000"/>
            <rFont val="Tahoma"/>
            <family val="2"/>
            <charset val="1"/>
          </rPr>
          <t>Leeg laten indien defaultwaarden worden gebruikt.</t>
        </r>
      </text>
    </comment>
    <comment ref="E17" authorId="0" shapeId="0" xr:uid="{00000000-0006-0000-0200-00000C000000}">
      <text>
        <r>
          <rPr>
            <sz val="9"/>
            <color rgb="FF000000"/>
            <rFont val="Tahoma"/>
            <family val="2"/>
            <charset val="1"/>
          </rPr>
          <t>Leeg laten indien defaultwaarden worden gebruikt.</t>
        </r>
      </text>
    </comment>
    <comment ref="A19" authorId="0" shapeId="0" xr:uid="{00000000-0006-0000-0200-000001000000}">
      <text>
        <r>
          <rPr>
            <sz val="9"/>
            <color rgb="FF000000"/>
            <rFont val="Tahoma"/>
            <family val="2"/>
            <charset val="1"/>
          </rPr>
          <t>De hieronder vermelde standaardwaarden kunt u overschrijven met uw eigen gegevens.</t>
        </r>
      </text>
    </comment>
    <comment ref="E24" authorId="0" shapeId="0" xr:uid="{00000000-0006-0000-0200-00000D000000}">
      <text>
        <r>
          <rPr>
            <sz val="9"/>
            <color rgb="FF000000"/>
            <rFont val="Tahoma"/>
            <family val="2"/>
            <charset val="1"/>
          </rPr>
          <t>Leeg laten indien defaultwaarden worden gebruikt.</t>
        </r>
      </text>
    </comment>
    <comment ref="A29" authorId="0" shapeId="0" xr:uid="{00000000-0006-0000-0200-000002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B29" authorId="0" shapeId="0" xr:uid="{00000000-0006-0000-0200-000007000000}">
      <text>
        <r>
          <rPr>
            <sz val="9"/>
            <color rgb="FF000000"/>
            <rFont val="Tahoma"/>
            <family val="2"/>
            <charset val="1"/>
          </rPr>
          <t>Leeg laten indien defaultwaarden worden gebruikt.</t>
        </r>
      </text>
    </comment>
    <comment ref="B34" authorId="0" shapeId="0" xr:uid="{00000000-0006-0000-0200-000008000000}">
      <text>
        <r>
          <rPr>
            <sz val="9"/>
            <color rgb="FF000000"/>
            <rFont val="Tahoma"/>
            <family val="2"/>
            <charset val="1"/>
          </rPr>
          <t>Leeg laten indien defaultwaarden worden gebruikt.</t>
        </r>
      </text>
    </comment>
    <comment ref="A61" authorId="0" shapeId="0" xr:uid="{00000000-0006-0000-0200-000003000000}">
      <text>
        <r>
          <rPr>
            <sz val="8.5"/>
            <color rgb="FF000000"/>
            <rFont val="Verdana"/>
            <family val="2"/>
            <charset val="1"/>
          </rPr>
          <t xml:space="preserve">Teoh, Tharsis:
</t>
        </r>
        <r>
          <rPr>
            <sz val="9"/>
            <color rgb="FF000000"/>
            <rFont val="Tahoma"/>
            <family val="2"/>
            <charset val="1"/>
          </rPr>
          <t xml:space="preserve">En uw motorrijtuig heeft alleen een elektromotor of alleen een waterstofverbrandingsmotor? Dan hoeft u geen motorrijtuigenbelasting te betalen.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G15" authorId="0" shapeId="0" xr:uid="{00000000-0006-0000-0300-000001000000}">
      <text>
        <r>
          <rPr>
            <sz val="9"/>
            <color rgb="FF000000"/>
            <rFont val="Tahoma"/>
            <family val="2"/>
            <charset val="1"/>
          </rPr>
          <t xml:space="preserve">Aantal dagen per jaar voor reparatie en onderhoud.
</t>
        </r>
      </text>
    </comment>
    <comment ref="G22" authorId="0" shapeId="0" xr:uid="{00000000-0006-0000-0300-000002000000}">
      <text>
        <r>
          <rPr>
            <sz val="9"/>
            <color rgb="FF000000"/>
            <rFont val="Tahoma"/>
            <family val="2"/>
            <charset val="1"/>
          </rPr>
          <t xml:space="preserve">Aantal dagen per jaar voor reparatie en onderhoud.
</t>
        </r>
      </text>
    </comment>
    <comment ref="G27" authorId="0" shapeId="0" xr:uid="{00000000-0006-0000-0300-000003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L14" authorId="0" shapeId="0" xr:uid="{00000000-0006-0000-0500-000001000000}">
      <text>
        <r>
          <rPr>
            <sz val="8.5"/>
            <color rgb="FF000000"/>
            <rFont val="Verdana"/>
            <family val="2"/>
            <charset val="1"/>
          </rPr>
          <t xml:space="preserve">C.M.L. Degroote:
</t>
        </r>
        <r>
          <rPr>
            <sz val="9"/>
            <color rgb="FF000000"/>
            <rFont val="Tahoma"/>
            <family val="2"/>
            <charset val="1"/>
          </rPr>
          <t>Louwman 0,096euro</t>
        </r>
      </text>
    </comment>
    <comment ref="L15" authorId="0" shapeId="0" xr:uid="{00000000-0006-0000-0500-000002000000}">
      <text>
        <r>
          <rPr>
            <sz val="8.5"/>
            <color rgb="FF000000"/>
            <rFont val="Verdana"/>
            <family val="2"/>
            <charset val="1"/>
          </rPr>
          <t xml:space="preserve">C.M.L. Degroote:
</t>
        </r>
        <r>
          <rPr>
            <sz val="9"/>
            <color rgb="FF000000"/>
            <rFont val="Tahoma"/>
            <family val="2"/>
            <charset val="1"/>
          </rPr>
          <t>0,139 euro Louwman</t>
        </r>
      </text>
    </comment>
    <comment ref="L35" authorId="0" shapeId="0" xr:uid="{00000000-0006-0000-0500-000003000000}">
      <text>
        <r>
          <rPr>
            <sz val="8.5"/>
            <color rgb="FF000000"/>
            <rFont val="Verdana"/>
            <family val="2"/>
            <charset val="1"/>
          </rPr>
          <t xml:space="preserve">J.M. van der Meer:
</t>
        </r>
        <r>
          <rPr>
            <sz val="9"/>
            <color rgb="FF000000"/>
            <rFont val="Tahoma"/>
            <family val="2"/>
            <charset val="1"/>
          </rPr>
          <t xml:space="preserve">Is al inclusief volumekorting zo te zien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F17" authorId="0" shapeId="0" xr:uid="{00000000-0006-0000-0400-000001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 ref="F23" authorId="0" shapeId="0" xr:uid="{00000000-0006-0000-0400-000002000000}">
      <text>
        <r>
          <rPr>
            <sz val="9"/>
            <color rgb="FF000000"/>
            <rFont val="Tahoma"/>
            <family val="2"/>
            <charset val="1"/>
          </rPr>
          <t xml:space="preserve">Aantal dagen per jaar voor reparatie en onderhoud.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G14" authorId="0" shapeId="0" xr:uid="{00000000-0006-0000-0600-000001000000}">
      <text>
        <r>
          <rPr>
            <sz val="9"/>
            <color rgb="FF000000"/>
            <rFont val="Tahoma"/>
            <family val="2"/>
            <charset val="1"/>
          </rPr>
          <t xml:space="preserve">Aantal dagen per jaar voor reparatie en onderhoud.
</t>
        </r>
      </text>
    </comment>
    <comment ref="G21" authorId="0" shapeId="0" xr:uid="{00000000-0006-0000-0600-000002000000}">
      <text>
        <r>
          <rPr>
            <sz val="9"/>
            <color rgb="FF000000"/>
            <rFont val="Tahoma"/>
            <family val="2"/>
            <charset val="1"/>
          </rPr>
          <t xml:space="preserve">Aantal dagen per jaar voor reparatie en onderhoud.
</t>
        </r>
      </text>
    </comment>
    <comment ref="G26" authorId="0" shapeId="0" xr:uid="{00000000-0006-0000-0600-000003000000}">
      <text>
        <r>
          <rPr>
            <sz val="8.5"/>
            <color rgb="FF000000"/>
            <rFont val="Verdana"/>
            <family val="2"/>
            <charset val="1"/>
          </rPr>
          <t xml:space="preserve">Betreft:
</t>
        </r>
        <r>
          <rPr>
            <sz val="9"/>
            <color rgb="FF000000"/>
            <rFont val="Tahoma"/>
            <family val="2"/>
            <charset val="1"/>
          </rPr>
          <t xml:space="preserve">Aankoop laadsysteem en inrichten locatie.
</t>
        </r>
      </text>
    </comment>
  </commentList>
</comments>
</file>

<file path=xl/sharedStrings.xml><?xml version="1.0" encoding="utf-8"?>
<sst xmlns="http://schemas.openxmlformats.org/spreadsheetml/2006/main" count="802" uniqueCount="353">
  <si>
    <t>Disclaimer:</t>
  </si>
  <si>
    <t xml:space="preserve">De in het TCO-Vracht gebruikte default- c.q. standaardwaarden zijn met de grootste zorg verzameld. Het betreft echter gemiddelde cijfers, de werkelijke cijfers kunnen ofwel hoger dan wel lager zijn. Hoewel veel zorg is besteed aan de correctheid van de rekenregels en de gebruikte inputdata, is Panteia of de Topsector Logistiek niet aansprakelijk te houden voor de juistheid van de rekenresultaten. </t>
  </si>
  <si>
    <t>MODULE VOOR ONDERNEMERS</t>
  </si>
  <si>
    <t>TCO-Vracht Topsector Logistiek</t>
  </si>
  <si>
    <t>versie 1.2</t>
  </si>
  <si>
    <t>BASIS INVOERGEGEVENS</t>
  </si>
  <si>
    <t>Voertuigtype</t>
  </si>
  <si>
    <t>Trekker-oplegger</t>
  </si>
  <si>
    <t>Capaciteit vrachtwagenbatterij</t>
  </si>
  <si>
    <t>kWh</t>
  </si>
  <si>
    <t>Koelmachine (J/N)</t>
  </si>
  <si>
    <t>niet gekoeld</t>
  </si>
  <si>
    <t>Vermogen eigen oplaadsysteem</t>
  </si>
  <si>
    <t xml:space="preserve">kW </t>
  </si>
  <si>
    <t>Verwacht jaarkilometrage</t>
  </si>
  <si>
    <t>km/jaar</t>
  </si>
  <si>
    <t>Laadvermogen langs de weg</t>
  </si>
  <si>
    <t>Grijze/groene elektriciteit</t>
  </si>
  <si>
    <t>grijs</t>
  </si>
  <si>
    <t>Tijd om te laden 's  nachts</t>
  </si>
  <si>
    <t>uur</t>
  </si>
  <si>
    <t>Max. dagkilometrage</t>
  </si>
  <si>
    <t>km/dag</t>
  </si>
  <si>
    <t>Tijd om te laden overdag</t>
  </si>
  <si>
    <t>BASIS UITGANGSPUNTEN</t>
  </si>
  <si>
    <t>AANKOOPGEGEVENS</t>
  </si>
  <si>
    <t>INKOOPPRIJS ENERGIE</t>
  </si>
  <si>
    <t>Aankoopprijs elektrisch voertuig</t>
  </si>
  <si>
    <t>Basis brandstofprijs (diesel, excl. btw)</t>
  </si>
  <si>
    <t>Bruto aankoopprijs (excl. BTW)</t>
  </si>
  <si>
    <t>Netto investeringsaftrek</t>
  </si>
  <si>
    <t>Subsidies</t>
  </si>
  <si>
    <t>INZETGEGEVENS VOERTUIG</t>
  </si>
  <si>
    <t>Netto aankoopprijs</t>
  </si>
  <si>
    <t xml:space="preserve"> Elektrisch voertuig</t>
  </si>
  <si>
    <t>Dieselvoertuig</t>
  </si>
  <si>
    <t>Economische levensduur (jaar)</t>
  </si>
  <si>
    <t>Investering oplaadsysteem (eenmalig)</t>
  </si>
  <si>
    <t>Restwaarde (euro)</t>
  </si>
  <si>
    <t>Bruto inkoopprijs oplaadsysteem</t>
  </si>
  <si>
    <t>Aantal productieve uren per jaar</t>
  </si>
  <si>
    <t>Bruto kosten aanleg oplaadsysteem</t>
  </si>
  <si>
    <t>Kosten van reparaties (euro)</t>
  </si>
  <si>
    <t>Stilstand reparatie en onderhoud</t>
  </si>
  <si>
    <t>Netto inkoop en aanlegkosten</t>
  </si>
  <si>
    <t>RESULTATEN</t>
  </si>
  <si>
    <t>Scenario</t>
  </si>
  <si>
    <t>Uitsluitend thuis opladen</t>
  </si>
  <si>
    <t xml:space="preserve">Optimale mix </t>
  </si>
  <si>
    <t>Diesel</t>
  </si>
  <si>
    <t>Scenario technisch mogelijk/niet mogelijk</t>
  </si>
  <si>
    <t>Scenario valid</t>
  </si>
  <si>
    <t>Eigen oplaadsysteem</t>
  </si>
  <si>
    <t>nvt</t>
  </si>
  <si>
    <t>Openbaar oplaadsysteem</t>
  </si>
  <si>
    <t>None</t>
  </si>
  <si>
    <t xml:space="preserve"> </t>
  </si>
  <si>
    <t>Percentage eigen oplaadsysteem</t>
  </si>
  <si>
    <t>Percentage extern (openbaar) oplaadsysteem</t>
  </si>
  <si>
    <t>Totale kosten per jaar</t>
  </si>
  <si>
    <t>Totale kosten per km</t>
  </si>
  <si>
    <t>Totale kosten per uur</t>
  </si>
  <si>
    <t>Emissies (totaal per jaar voor het geselecteerde voertuig, WtW)</t>
  </si>
  <si>
    <t>CO2 emissies (ton per jaar)</t>
  </si>
  <si>
    <t>PM_totaal (kg per jaar)</t>
  </si>
  <si>
    <t>NOx_ (kg per jaar)</t>
  </si>
  <si>
    <t>ONDERBOUWING KOSTENBEREKENING</t>
  </si>
  <si>
    <t>Vaste kosten per jaar</t>
  </si>
  <si>
    <t>Wegenbelasting (dieselvoertuigen)</t>
  </si>
  <si>
    <t>Eurovignet</t>
  </si>
  <si>
    <t>Rente</t>
  </si>
  <si>
    <t>Verzekering</t>
  </si>
  <si>
    <t>Voertuigheffing</t>
  </si>
  <si>
    <t>Diverse overige voertuigkosten</t>
  </si>
  <si>
    <t>a: Totale vaste voertuigkosten per jaar</t>
  </si>
  <si>
    <t>Fixed transport costs</t>
  </si>
  <si>
    <t>Variabele kosten per jaar</t>
  </si>
  <si>
    <t>Brandstofverbruik voertuig</t>
  </si>
  <si>
    <t>Brandstofverbruik koeling</t>
  </si>
  <si>
    <t>Elektriciteitsverbruik</t>
  </si>
  <si>
    <t>Banden</t>
  </si>
  <si>
    <t>Onderhoud</t>
  </si>
  <si>
    <t>Reparatie</t>
  </si>
  <si>
    <t>Reparatie/onderhoud koelunit</t>
  </si>
  <si>
    <t>Verschil Tolheffing (km-tarief)</t>
  </si>
  <si>
    <t>CO2 prijs</t>
  </si>
  <si>
    <t xml:space="preserve">Specifieke vervoerskosten </t>
  </si>
  <si>
    <t>b: Totale variabele voertuigkosten per jaar</t>
  </si>
  <si>
    <t>Repair, maintenance &amp; tires</t>
  </si>
  <si>
    <t>Afschrijving voertuig per jaar</t>
  </si>
  <si>
    <t>Afschrijving voertuig</t>
  </si>
  <si>
    <t>Netto investeringsaftrek per jaar</t>
  </si>
  <si>
    <t>c: Totale afschrijvingskosten voertuig per jaar</t>
  </si>
  <si>
    <t>Kosten oplaadsysteem per jaar</t>
  </si>
  <si>
    <t>Aankoop en installatie</t>
  </si>
  <si>
    <t>Operationele kosten</t>
  </si>
  <si>
    <t>d: Totale kosten oplaadsysteem per jaar</t>
  </si>
  <si>
    <t xml:space="preserve">Totale voertuig en oplaadsysteemkosten per jaar (a+b+c+d) </t>
  </si>
  <si>
    <t>Totale voertuig en oplaadsysteemkosten per km: (a+b+c+d)/kms per jaar</t>
  </si>
  <si>
    <t>Totale voertuig en oplaadsysteemkosten per uur (a+b+c+d)/uren per jaar</t>
  </si>
  <si>
    <t>Chauffeurskosten</t>
  </si>
  <si>
    <t>Uurloon incl. sociale lasten</t>
  </si>
  <si>
    <t>Verblijfkostenvergoeding</t>
  </si>
  <si>
    <t>Overige kosten</t>
  </si>
  <si>
    <t>e: Totale chauffeurskosten per jaar</t>
  </si>
  <si>
    <t>Totale directe kosten per jaar (a+b+c+d+e)</t>
  </si>
  <si>
    <t>Totale directe kosten per km: (a+b+c+d+e)/kms per jaar</t>
  </si>
  <si>
    <t>Totale directe kosten per uur (a+b+c+d+e)/uren per jaar</t>
  </si>
  <si>
    <t>MODULE VOOR BELEIDSANALYSES</t>
  </si>
  <si>
    <t>Elektrisch voertuig</t>
  </si>
  <si>
    <t xml:space="preserve"> Dieselvoertuig</t>
  </si>
  <si>
    <t>DOORREKENFACTOREN  BELEIDSOPTIES</t>
  </si>
  <si>
    <t>SUBSIDIES (elektrische voertuigen)</t>
  </si>
  <si>
    <t>BELASTINGEN (dieselvoertuigen)</t>
  </si>
  <si>
    <t>Dieselaccijns</t>
  </si>
  <si>
    <t>Brandstofprijs (excl. btw)</t>
  </si>
  <si>
    <t>euro/liter</t>
  </si>
  <si>
    <t>Mutatie dieselaccijns</t>
  </si>
  <si>
    <t>percentage</t>
  </si>
  <si>
    <t>Dieselaccijns (2020)</t>
  </si>
  <si>
    <t>Dieselvoertuigbelastingen</t>
  </si>
  <si>
    <t xml:space="preserve">Bruto kosten inkoop &amp; aanleg oplaadsysteem </t>
  </si>
  <si>
    <t>Verschil vrachtwagentolheffing</t>
  </si>
  <si>
    <t>euro/km</t>
  </si>
  <si>
    <t>Subsidie aanleg oplaadsysteem</t>
  </si>
  <si>
    <t>Aandeel snelweg kilometers</t>
  </si>
  <si>
    <t>%</t>
  </si>
  <si>
    <t>Netto kosten inkoop &amp; aanleg oplaadsysteem</t>
  </si>
  <si>
    <t>Vaste ZE-Voertuigheffing</t>
  </si>
  <si>
    <t>euro/jaar</t>
  </si>
  <si>
    <t>Inkoopsubsidie elektriciteit (€/kWh)</t>
  </si>
  <si>
    <t>Inkoopprijs elektriciteit (excl. btw)</t>
  </si>
  <si>
    <t>euro/ton</t>
  </si>
  <si>
    <t>Energiesubsidie</t>
  </si>
  <si>
    <t>Netto inkoopprijs elektriciteit</t>
  </si>
  <si>
    <t>c: Totale kosten oplaadsysteem per jaar</t>
  </si>
  <si>
    <t>Totale voertuig en oplaadsysteemkosten per jaar (a+b+C)</t>
  </si>
  <si>
    <t>Totale voertuig en oplaadsysteemkosten per km: (a+b+c)/kms per jaar</t>
  </si>
  <si>
    <t>Totale voertuig en oplaadsysteemkosten per uur (a+b+c)/uren per jaar</t>
  </si>
  <si>
    <t>d: Totale chauffeurskosten per jaar</t>
  </si>
  <si>
    <t>Totale directe kosten per jaar (a+b+c+d)</t>
  </si>
  <si>
    <t>Totale directe kosten per km: (a+b+c+d)/kms per jaar</t>
  </si>
  <si>
    <t>Totale directe kosten per uur (a+b+c+d)/uren per jaar</t>
  </si>
  <si>
    <t>Algemene kosten (overhead)</t>
  </si>
  <si>
    <t>Loon incl. sociale lasten</t>
  </si>
  <si>
    <t>Huisvesting</t>
  </si>
  <si>
    <t>Overig</t>
  </si>
  <si>
    <t>e: Totale overhead per jaar</t>
  </si>
  <si>
    <t>Totale kosten per jaar: (a+b+c+d+e)</t>
  </si>
  <si>
    <t>Totale kosten per km: (a+b+c+d+e)/ kms per jaar</t>
  </si>
  <si>
    <t>Totale kosten per uur: (a+b+c+d+e)/ uren per jaar</t>
  </si>
  <si>
    <t>Default/Input values</t>
  </si>
  <si>
    <t>Operation requirements</t>
  </si>
  <si>
    <t>Downtime charging only</t>
  </si>
  <si>
    <t>Opportunity charging, if needed</t>
  </si>
  <si>
    <t>Vermogen</t>
  </si>
  <si>
    <t>Input values</t>
  </si>
  <si>
    <t>Selected values</t>
  </si>
  <si>
    <t>Default values (Text format)</t>
  </si>
  <si>
    <t>Type of vehicle</t>
  </si>
  <si>
    <t>Vermogen vrachtwagenbatterij</t>
  </si>
  <si>
    <t>Average driving range per day (km/day)</t>
  </si>
  <si>
    <t>Maximum driving range er day (km/day)</t>
  </si>
  <si>
    <t>Vermogen onderweg</t>
  </si>
  <si>
    <t>Days in operation per year</t>
  </si>
  <si>
    <t>Inkoopprijs energie</t>
  </si>
  <si>
    <t>Average energy use per day (kWh/day)</t>
  </si>
  <si>
    <t>Brandstofprijs (diesel, excl. btw)</t>
  </si>
  <si>
    <t>Maximum energy use per day (kWh/day)</t>
  </si>
  <si>
    <t>average speed (km/h)</t>
  </si>
  <si>
    <t>average waiting time ratio</t>
  </si>
  <si>
    <t>max hours a day</t>
  </si>
  <si>
    <t>driving hours per day</t>
  </si>
  <si>
    <t>operational hours per day</t>
  </si>
  <si>
    <t>available time for charging</t>
  </si>
  <si>
    <t>night time charging</t>
  </si>
  <si>
    <t>Efficiëntie (L/km)</t>
  </si>
  <si>
    <t>Recommended system</t>
  </si>
  <si>
    <t>Vehicle specification</t>
  </si>
  <si>
    <t>Battery capacity of vehicle (kWh)</t>
  </si>
  <si>
    <t>Energy consumption rate (kWh/km)</t>
  </si>
  <si>
    <t>Refrigerated energy rate (kW)</t>
  </si>
  <si>
    <t>Own charging equipment specifications</t>
  </si>
  <si>
    <t>Subsidies aankoopprijs</t>
  </si>
  <si>
    <t>Overnight parking duration (hours)</t>
  </si>
  <si>
    <t>Investering oplaadsysteem</t>
  </si>
  <si>
    <t>Own energy charged</t>
  </si>
  <si>
    <t>Required power rating</t>
  </si>
  <si>
    <t>Selected power rating</t>
  </si>
  <si>
    <t>Subsidies oplaadsysteem</t>
  </si>
  <si>
    <t>Efficiëntie (kWh/km)</t>
  </si>
  <si>
    <t>System purchased</t>
  </si>
  <si>
    <t>Afstand per jaar (DV)</t>
  </si>
  <si>
    <t>Overnight charging hours</t>
  </si>
  <si>
    <t>Afstand per jaar (EV)</t>
  </si>
  <si>
    <t>Onderhoudskosten (EV)</t>
  </si>
  <si>
    <t>Maximum energy to be charged in a day</t>
  </si>
  <si>
    <t>Aantal dagen zonder reparatie</t>
  </si>
  <si>
    <t>Energy charged</t>
  </si>
  <si>
    <t>Koelingsuren</t>
  </si>
  <si>
    <t>Max energy charged</t>
  </si>
  <si>
    <t>External charging use calculations</t>
  </si>
  <si>
    <t>Needed external charging energy</t>
  </si>
  <si>
    <t>Afschrijving</t>
  </si>
  <si>
    <t>Available time for charging</t>
  </si>
  <si>
    <t>Diesel vehicle price</t>
  </si>
  <si>
    <t>Number of charging sessions</t>
  </si>
  <si>
    <t>Diesel annual depreciation</t>
  </si>
  <si>
    <t>EV annual depreciation</t>
  </si>
  <si>
    <t>EV investeringsaftrek</t>
  </si>
  <si>
    <t>DV investeringsaftrek</t>
  </si>
  <si>
    <t>System used</t>
  </si>
  <si>
    <t>Maximum energy to be charged in a session</t>
  </si>
  <si>
    <t>Extra hours/day for charging</t>
  </si>
  <si>
    <t>Scenario valid for average km/day?</t>
  </si>
  <si>
    <t>Scenario valid for max. km/day?</t>
  </si>
  <si>
    <t>Operational costs</t>
  </si>
  <si>
    <t>Maintenance costs  (€/year)</t>
  </si>
  <si>
    <t>Own energy costs (€/year)</t>
  </si>
  <si>
    <t>External energy costs  (€/year)</t>
  </si>
  <si>
    <t>Annual diesel fuel consumed (liter)</t>
  </si>
  <si>
    <t>WTW CO2-eq (kg/l)</t>
  </si>
  <si>
    <t>PMc (g/l)</t>
  </si>
  <si>
    <t>NOx (g/l)</t>
  </si>
  <si>
    <t>Total electricity consumed (kWh)</t>
  </si>
  <si>
    <t>WTT CO2e (kg/kWh)</t>
  </si>
  <si>
    <t>PM_power plant (g/kWh)</t>
  </si>
  <si>
    <t>NOx_power plant (g/kWh)</t>
  </si>
  <si>
    <t>Average mileage per year (km)</t>
  </si>
  <si>
    <t>PM_wear (g/km)</t>
  </si>
  <si>
    <t>Annual impact</t>
  </si>
  <si>
    <t>Dutch energy</t>
  </si>
  <si>
    <t>CO2 calculation (t)</t>
  </si>
  <si>
    <t>PM_total (kg)</t>
  </si>
  <si>
    <t>NOx (kg)</t>
  </si>
  <si>
    <t>Clean energy</t>
  </si>
  <si>
    <t>Driving range per day (km/day)</t>
  </si>
  <si>
    <t>Total energy use per day (kWh/day)</t>
  </si>
  <si>
    <t>Aanleg (excl. btw)</t>
  </si>
  <si>
    <t>Mileage per year (DV)</t>
  </si>
  <si>
    <t>Mileage per year (EV)</t>
  </si>
  <si>
    <t>Total days assumed without repair</t>
  </si>
  <si>
    <t>Refrigeration operational hours</t>
  </si>
  <si>
    <t>Vehicle depreciation</t>
  </si>
  <si>
    <t>Elektrisch voertuig annual depreciation</t>
  </si>
  <si>
    <t>Scenario valid?</t>
  </si>
  <si>
    <t>WTW CO2-eq (kg)</t>
  </si>
  <si>
    <t>PMc (g)</t>
  </si>
  <si>
    <t>NOx (g)</t>
  </si>
  <si>
    <t>WTT CO2e (kg)</t>
  </si>
  <si>
    <t>PM_power plant (g)</t>
  </si>
  <si>
    <t>NOx_power plant (g)</t>
  </si>
  <si>
    <t>PM_wear (g)</t>
  </si>
  <si>
    <t>Vehicle characteristics</t>
  </si>
  <si>
    <t>Vehicle models</t>
  </si>
  <si>
    <t>Vehicle type</t>
  </si>
  <si>
    <t>Battery option</t>
  </si>
  <si>
    <t>Battery (kWh)</t>
  </si>
  <si>
    <t>Total EV price</t>
  </si>
  <si>
    <t>Kleine bestelwagen</t>
  </si>
  <si>
    <t>Medium bestelwagen</t>
  </si>
  <si>
    <t>Medium luxe bestelwagen</t>
  </si>
  <si>
    <t>Grote bestelwagen</t>
  </si>
  <si>
    <t>Kleine bakwagen (12t)</t>
  </si>
  <si>
    <t>Grote bakwagen (18t)</t>
  </si>
  <si>
    <t>ID</t>
  </si>
  <si>
    <t>(Waiting time)/(total operation time) (%)</t>
  </si>
  <si>
    <t>Average speed (km/h)</t>
  </si>
  <si>
    <t>Diesel price</t>
  </si>
  <si>
    <t>Diesel depreciation cost per year</t>
  </si>
  <si>
    <t>Energy consumption (kWh/km)</t>
  </si>
  <si>
    <t>Refrigeration energy (kW)</t>
  </si>
  <si>
    <t>DV fuel efficiency (L/km)</t>
  </si>
  <si>
    <t>Refrigeration consumption (L/hour)</t>
  </si>
  <si>
    <t>EV maintenance costs (€/km)</t>
  </si>
  <si>
    <t>DV maintenance costs (€/km)</t>
  </si>
  <si>
    <t>Tires cost (€/km)</t>
  </si>
  <si>
    <t>Refrigeration maintenance costs (€/h)</t>
  </si>
  <si>
    <t>Road tax (€)</t>
  </si>
  <si>
    <t>Toll (€)</t>
  </si>
  <si>
    <t>Misc. vehicle cost</t>
  </si>
  <si>
    <t>Special transport costs</t>
  </si>
  <si>
    <t>Battery capacity (kWh)</t>
  </si>
  <si>
    <t>index</t>
  </si>
  <si>
    <t>Model 1</t>
  </si>
  <si>
    <t>Model 2</t>
  </si>
  <si>
    <t>Model 3</t>
  </si>
  <si>
    <t>Maximum battery</t>
  </si>
  <si>
    <t>gekoeld</t>
  </si>
  <si>
    <t>groen</t>
  </si>
  <si>
    <t>Charging pole</t>
  </si>
  <si>
    <t>Index</t>
  </si>
  <si>
    <t>Charging type</t>
  </si>
  <si>
    <t>Power</t>
  </si>
  <si>
    <t>Land type</t>
  </si>
  <si>
    <t>Power (kW)</t>
  </si>
  <si>
    <t>Depth of discharge (%)</t>
  </si>
  <si>
    <t>Efficiency (%)</t>
  </si>
  <si>
    <t xml:space="preserve">Purchase &amp; installation (€) </t>
  </si>
  <si>
    <t>Purchase (€)</t>
  </si>
  <si>
    <t>Installation costs (€)</t>
  </si>
  <si>
    <t>Operational costs annual (€)</t>
  </si>
  <si>
    <t>Own energy costs (€)</t>
  </si>
  <si>
    <t>External energy costs (€)</t>
  </si>
  <si>
    <t>AC3,7</t>
  </si>
  <si>
    <t>3,7 kW</t>
  </si>
  <si>
    <t>Privaat</t>
  </si>
  <si>
    <t>AC10</t>
  </si>
  <si>
    <t>10 kW</t>
  </si>
  <si>
    <t>Publiek</t>
  </si>
  <si>
    <t>AC20</t>
  </si>
  <si>
    <t>20 kW</t>
  </si>
  <si>
    <t>FC50</t>
  </si>
  <si>
    <t>50 kW</t>
  </si>
  <si>
    <t>HPC150</t>
  </si>
  <si>
    <t>150 kW</t>
  </si>
  <si>
    <t>HPC350</t>
  </si>
  <si>
    <t>350 kW</t>
  </si>
  <si>
    <t>Charging power</t>
  </si>
  <si>
    <t>Privaat charging pole (kW)</t>
  </si>
  <si>
    <t>Publiek charging pole (kW)</t>
  </si>
  <si>
    <t>Estimated value of vehicle according to age</t>
  </si>
  <si>
    <t>Age</t>
  </si>
  <si>
    <t>Percentage of value of new vehicle price (%)</t>
  </si>
  <si>
    <t>Annual depreciation in percentage of new vehicle (%)</t>
  </si>
  <si>
    <t>Vehicle emission factors</t>
  </si>
  <si>
    <t>CO2 well-to-wheel emissions (g/L)</t>
  </si>
  <si>
    <t>PM10 for combustion (g/L)</t>
  </si>
  <si>
    <t>NOx emissions (g/L)</t>
  </si>
  <si>
    <t>PM_wear from tires (mg/km)</t>
  </si>
  <si>
    <t>Powerplant emission factors</t>
  </si>
  <si>
    <t>Pollutant</t>
  </si>
  <si>
    <t>Emission factors</t>
  </si>
  <si>
    <t>CO2-eq (kg/kWh)</t>
  </si>
  <si>
    <t>PM10 (g/kWh)</t>
  </si>
  <si>
    <t>NOx (g/kWh)</t>
  </si>
  <si>
    <t>*Values for CO2-eq and NOx are obtained from Ricardo/ED11344/Final report/Issue Number 3 (2020). PM10 is zero, as it is primarily a concern as a tailpipe emission.</t>
  </si>
  <si>
    <t>Price of Diesel per liter (€/L)</t>
  </si>
  <si>
    <t>Transmission power efficiency (%)</t>
  </si>
  <si>
    <t>Kleine bakwagen (12t) 80 kWh</t>
  </si>
  <si>
    <t>Kleine bakwagen (12t) 120 kWh</t>
  </si>
  <si>
    <t>Kleine bakwagen (12t) 160 kWh</t>
  </si>
  <si>
    <t>Grote bakwagen (18t) 160 kWh</t>
  </si>
  <si>
    <t>Grote bakwagen (18t) 200 kWh</t>
  </si>
  <si>
    <t>Grote bakwagen (18t) 240 kWh</t>
  </si>
  <si>
    <t>Trekker-oplegger 200 kWh</t>
  </si>
  <si>
    <t>Trekker-oplegger 320 kWh</t>
  </si>
  <si>
    <t>Trekker-oplegger 440 kWh</t>
  </si>
  <si>
    <t>Aftrek en afschrijving diesel extra jaren</t>
  </si>
  <si>
    <t>Inkoopprijs elektriciteit onderweg (excl. btw)</t>
  </si>
  <si>
    <t>Inkoopprijs elektriciteit depot (excl. btw)</t>
  </si>
  <si>
    <t>Basis inkoopprijs onderweg lektriciteit (excl. btw)</t>
  </si>
  <si>
    <t>Basis inkoopprijs depot elektriciteit (excl. btw)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</si>
</sst>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_);_(@_)"/>
    <numFmt numFmtId="165" formatCode="_ * #,##0.00_ ;_ * \-#,##0.00_ ;_ * \-??_ ;_ @_ "/>
    <numFmt numFmtId="166" formatCode="_(\€* #,##0.00_);_(\€* \(#,##0.00\);_(\€* \-??_);_(@_)"/>
    <numFmt numFmtId="167" formatCode="_ &quot;€ &quot;* #,##0.00_ ;_ &quot;€ &quot;* \-#,##0.00_ ;_ &quot;€ &quot;* \-??_ ;_ @_ "/>
    <numFmt numFmtId="168" formatCode="_(\€* #,##0_);_(\€* \(#,##0\);_(\€* \-_);_(@_)"/>
    <numFmt numFmtId="169" formatCode="[$-413]d\ mmmm\ yyyy;@"/>
    <numFmt numFmtId="170" formatCode="_ * #,##0_ ;_ * \-#,##0_ ;_ * \-??_ ;_ @_ "/>
    <numFmt numFmtId="171" formatCode="#,##0.0"/>
    <numFmt numFmtId="172" formatCode="0.0%"/>
    <numFmt numFmtId="173" formatCode="_ &quot;€ &quot;* #,##0.0000_ ;_ &quot;€ &quot;* \-#,##0.0000_ ;_ &quot;€ &quot;* \-??_ ;_ @_ "/>
    <numFmt numFmtId="174" formatCode="_ &quot;€ &quot;* #,##0_ ;_ &quot;€ &quot;* \-#,##0_ ;_ &quot;€ &quot;* \-??_ ;_ @_ "/>
    <numFmt numFmtId="175" formatCode="_ &quot;€ &quot;* #,##0.00_ ;_ &quot;€ &quot;* \-#,##0.00_ ;_ &quot;€ &quot;* \-_ ;_ @_ "/>
    <numFmt numFmtId="176" formatCode="#,##0.00_ ;\-#,##0.00\ "/>
    <numFmt numFmtId="177" formatCode="_(* #,##0_);_(* \(#,##0\);_(* \-_);_(@_)"/>
    <numFmt numFmtId="178" formatCode="0.0"/>
    <numFmt numFmtId="179" formatCode="&quot;€ &quot;#,##0"/>
    <numFmt numFmtId="180" formatCode="_(* #,##0_);_(* \(#,##0\);_(* \-??_);_(@_)"/>
    <numFmt numFmtId="181" formatCode="_ * #,##0.0_ ;_ * \-#,##0.0_ ;_ * \-??_ ;_ @_ "/>
    <numFmt numFmtId="182" formatCode="_(* #,##0.00_);_(* \(#,##0.00\);_(* \-_);_(@_)"/>
    <numFmt numFmtId="183" formatCode="0.000"/>
    <numFmt numFmtId="184" formatCode="_ &quot;€ &quot;* #,##0.000_ ;_ &quot;€ &quot;* \-#,##0.000_ ;_ &quot;€ &quot;* \-??_ ;_ @_ "/>
    <numFmt numFmtId="185" formatCode="#,##0.0000_ ;\-#,##0.0000\ "/>
    <numFmt numFmtId="186" formatCode="\€#,##0_);&quot;(€&quot;#,##0\)"/>
    <numFmt numFmtId="187" formatCode="\€#,##0.00_);&quot;(€&quot;#,##0.00\)"/>
    <numFmt numFmtId="188" formatCode="0.0000"/>
    <numFmt numFmtId="189" formatCode="_(* #,##0.000_);_(* \(#,##0.000\);_(* \-??_);_(@_)"/>
    <numFmt numFmtId="190" formatCode="0.00000"/>
  </numFmts>
  <fonts count="24" x14ac:knownFonts="1">
    <font>
      <sz val="8.5"/>
      <color rgb="FF000000"/>
      <name val="Verdana"/>
      <family val="2"/>
      <charset val="1"/>
    </font>
    <font>
      <sz val="8.5"/>
      <color rgb="FFFFFFFF"/>
      <name val="Verdana"/>
      <family val="2"/>
      <charset val="1"/>
    </font>
    <font>
      <sz val="8.5"/>
      <color rgb="FF9C0006"/>
      <name val="Verdana"/>
      <family val="2"/>
      <charset val="1"/>
    </font>
    <font>
      <sz val="8.5"/>
      <color rgb="FF006100"/>
      <name val="Verdana"/>
      <family val="2"/>
      <charset val="1"/>
    </font>
    <font>
      <sz val="8.5"/>
      <color rgb="FF9C6500"/>
      <name val="Verdana"/>
      <family val="2"/>
      <charset val="1"/>
    </font>
    <font>
      <sz val="11"/>
      <color rgb="FF000000"/>
      <name val="Calibri"/>
      <family val="2"/>
      <charset val="1"/>
    </font>
    <font>
      <sz val="10"/>
      <color rgb="FF000000"/>
      <name val="Calibri"/>
      <family val="2"/>
      <charset val="1"/>
    </font>
    <font>
      <b/>
      <u/>
      <sz val="11"/>
      <color rgb="FF000000"/>
      <name val="Calibri"/>
      <family val="2"/>
      <charset val="1"/>
    </font>
    <font>
      <sz val="8"/>
      <color rgb="FF000000"/>
      <name val="Calibri"/>
      <family val="2"/>
      <charset val="1"/>
    </font>
    <font>
      <b/>
      <sz val="8.5"/>
      <color rgb="FF000000"/>
      <name val="Verdana"/>
      <family val="2"/>
      <charset val="1"/>
    </font>
    <font>
      <sz val="8.5"/>
      <color rgb="FF3F3F76"/>
      <name val="Verdana"/>
      <family val="2"/>
      <charset val="1"/>
    </font>
    <font>
      <sz val="8.5"/>
      <color rgb="FFBDD7EE"/>
      <name val="Verdana"/>
      <family val="2"/>
      <charset val="1"/>
    </font>
    <font>
      <sz val="8.5"/>
      <color rgb="FFDEEBF7"/>
      <name val="Verdana"/>
      <family val="2"/>
      <charset val="1"/>
    </font>
    <font>
      <sz val="8.5"/>
      <color rgb="FFE2F0D9"/>
      <name val="Verdana"/>
      <family val="2"/>
      <charset val="1"/>
    </font>
    <font>
      <sz val="9"/>
      <color rgb="FF000000"/>
      <name val="Tahoma"/>
      <family val="2"/>
      <charset val="1"/>
    </font>
    <font>
      <b/>
      <sz val="8"/>
      <color rgb="FF000000"/>
      <name val="Verdana"/>
      <family val="2"/>
      <charset val="1"/>
    </font>
    <font>
      <i/>
      <sz val="8.5"/>
      <color rgb="FF000000"/>
      <name val="Verdana"/>
      <family val="2"/>
      <charset val="1"/>
    </font>
    <font>
      <sz val="8.5"/>
      <name val="Verdana"/>
      <family val="2"/>
      <charset val="1"/>
    </font>
    <font>
      <b/>
      <sz val="8.5"/>
      <color rgb="FFFA7D00"/>
      <name val="Verdana"/>
      <family val="2"/>
      <charset val="1"/>
    </font>
    <font>
      <b/>
      <sz val="8.5"/>
      <name val="Verdana"/>
      <family val="2"/>
      <charset val="1"/>
    </font>
    <font>
      <sz val="8"/>
      <color rgb="FF000000"/>
      <name val="Verdana"/>
      <family val="2"/>
      <charset val="1"/>
    </font>
    <font>
      <sz val="10"/>
      <color rgb="FF808080"/>
      <name val="Calibri"/>
      <family val="2"/>
      <charset val="1"/>
    </font>
    <font>
      <sz val="8.5"/>
      <color rgb="FF000000"/>
      <name val="Verdana"/>
      <family val="2"/>
      <charset val="1"/>
    </font>
    <font>
      <sz val="8.5"/>
      <color rgb="FF000000"/>
      <name val="Verdana"/>
      <family val="2"/>
    </font>
  </fonts>
  <fills count="26">
    <fill>
      <patternFill patternType="none"/>
    </fill>
    <fill>
      <patternFill patternType="gray125"/>
    </fill>
    <fill>
      <patternFill patternType="solid">
        <fgColor rgb="FFDEEBF7"/>
        <bgColor rgb="FFDAE3F3"/>
      </patternFill>
    </fill>
    <fill>
      <patternFill patternType="solid">
        <fgColor rgb="FFFFF2CC"/>
        <bgColor rgb="FFFBE5D6"/>
      </patternFill>
    </fill>
    <fill>
      <patternFill patternType="solid">
        <fgColor rgb="FFFFE699"/>
        <bgColor rgb="FFFFEB9C"/>
      </patternFill>
    </fill>
    <fill>
      <patternFill patternType="solid">
        <fgColor rgb="FFB4C7E7"/>
        <bgColor rgb="FFBDD7EE"/>
      </patternFill>
    </fill>
    <fill>
      <patternFill patternType="solid">
        <fgColor rgb="FFC5E0B4"/>
        <bgColor rgb="FFC6EFCE"/>
      </patternFill>
    </fill>
    <fill>
      <patternFill patternType="solid">
        <fgColor rgb="FFFFC000"/>
        <bgColor rgb="FFFFFF00"/>
      </patternFill>
    </fill>
    <fill>
      <patternFill patternType="solid">
        <fgColor rgb="FFFFC7CE"/>
        <bgColor rgb="FFF8CBAD"/>
      </patternFill>
    </fill>
    <fill>
      <patternFill patternType="solid">
        <fgColor rgb="FFC6EFCE"/>
        <bgColor rgb="FFC5E0B4"/>
      </patternFill>
    </fill>
    <fill>
      <patternFill patternType="solid">
        <fgColor rgb="FFFFEB9C"/>
        <bgColor rgb="FFFFE699"/>
      </patternFill>
    </fill>
    <fill>
      <patternFill patternType="solid">
        <fgColor rgb="FFFFCC99"/>
        <bgColor rgb="FFF8CBAD"/>
      </patternFill>
    </fill>
    <fill>
      <patternFill patternType="solid">
        <fgColor rgb="FFFBE5D6"/>
        <bgColor rgb="FFFFF2CC"/>
      </patternFill>
    </fill>
    <fill>
      <patternFill patternType="solid">
        <fgColor rgb="FFDBDBDB"/>
        <bgColor rgb="FFDAE3F3"/>
      </patternFill>
    </fill>
    <fill>
      <patternFill patternType="solid">
        <fgColor rgb="FFE2F0D9"/>
        <bgColor rgb="FFEDEDED"/>
      </patternFill>
    </fill>
    <fill>
      <patternFill patternType="solid">
        <fgColor rgb="FF8FAADC"/>
        <bgColor rgb="FFB4C7E7"/>
      </patternFill>
    </fill>
    <fill>
      <patternFill patternType="solid">
        <fgColor rgb="FFF2F2F2"/>
        <bgColor rgb="FFEDEDED"/>
      </patternFill>
    </fill>
    <fill>
      <patternFill patternType="solid">
        <fgColor rgb="FFEDEDED"/>
        <bgColor rgb="FFF2F2F2"/>
      </patternFill>
    </fill>
    <fill>
      <patternFill patternType="solid">
        <fgColor rgb="FFDAE3F3"/>
        <bgColor rgb="FFDEEBF7"/>
      </patternFill>
    </fill>
    <fill>
      <patternFill patternType="solid">
        <fgColor rgb="FFF8CBAD"/>
        <bgColor rgb="FFFFCC99"/>
      </patternFill>
    </fill>
    <fill>
      <patternFill patternType="solid">
        <fgColor rgb="FFA9D18E"/>
        <bgColor rgb="FFC5E0B4"/>
      </patternFill>
    </fill>
    <fill>
      <patternFill patternType="solid">
        <fgColor rgb="FFFFFFFF"/>
        <bgColor rgb="FFF2F2F2"/>
      </patternFill>
    </fill>
    <fill>
      <patternFill patternType="solid">
        <fgColor rgb="FFBDD7EE"/>
        <bgColor rgb="FFB4C7E7"/>
      </patternFill>
    </fill>
    <fill>
      <patternFill patternType="solid">
        <fgColor rgb="FFFFFF00"/>
        <bgColor rgb="FFFFC000"/>
      </patternFill>
    </fill>
    <fill>
      <patternFill patternType="solid">
        <fgColor rgb="FFED7D31"/>
        <bgColor rgb="FFFA7D00"/>
      </patternFill>
    </fill>
    <fill>
      <patternFill patternType="solid">
        <fgColor rgb="FF000000"/>
        <bgColor rgb="FF003300"/>
      </patternFill>
    </fill>
  </fills>
  <borders count="49">
    <border>
      <left/>
      <right/>
      <top/>
      <bottom/>
      <diagonal/>
    </border>
    <border>
      <left style="thin">
        <color rgb="FF7F7F7F"/>
      </left>
      <right style="thin">
        <color rgb="FF7F7F7F"/>
      </right>
      <top style="thin">
        <color rgb="FF7F7F7F"/>
      </top>
      <bottom style="thin">
        <color rgb="FF7F7F7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7F7F7F"/>
      </left>
      <right style="thin">
        <color rgb="FF7F7F7F"/>
      </right>
      <top style="medium">
        <color auto="1"/>
      </top>
      <bottom style="thin">
        <color rgb="FF7F7F7F"/>
      </bottom>
      <diagonal/>
    </border>
    <border>
      <left/>
      <right/>
      <top/>
      <bottom style="thin">
        <color rgb="FF5B9BD5"/>
      </bottom>
      <diagonal/>
    </border>
    <border>
      <left style="thin">
        <color rgb="FF7F7F7F"/>
      </left>
      <right style="thin">
        <color auto="1"/>
      </right>
      <top style="thin">
        <color rgb="FF7F7F7F"/>
      </top>
      <bottom style="thin">
        <color rgb="FF7F7F7F"/>
      </bottom>
      <diagonal/>
    </border>
    <border>
      <left style="thin">
        <color rgb="FF7F7F7F"/>
      </left>
      <right style="thin">
        <color rgb="FF7F7F7F"/>
      </right>
      <top style="thin">
        <color rgb="FF7F7F7F"/>
      </top>
      <bottom style="thin">
        <color rgb="FF5B9BD5"/>
      </bottom>
      <diagonal/>
    </border>
    <border>
      <left style="thin">
        <color rgb="FF5B9BD5"/>
      </left>
      <right style="thin">
        <color auto="1"/>
      </right>
      <top style="thin">
        <color rgb="FF5B9BD5"/>
      </top>
      <bottom style="thin">
        <color rgb="FF5B9BD5"/>
      </bottom>
      <diagonal/>
    </border>
    <border>
      <left style="thin">
        <color rgb="FF7F7F7F"/>
      </left>
      <right style="medium">
        <color auto="1"/>
      </right>
      <top style="thin">
        <color rgb="FF7F7F7F"/>
      </top>
      <bottom style="thin">
        <color rgb="FF7F7F7F"/>
      </bottom>
      <diagonal/>
    </border>
    <border>
      <left style="medium">
        <color auto="1"/>
      </left>
      <right style="thin">
        <color rgb="FF5B9BD5"/>
      </right>
      <top/>
      <bottom/>
      <diagonal/>
    </border>
    <border>
      <left style="thin">
        <color rgb="FF5B9BD5"/>
      </left>
      <right style="thin">
        <color rgb="FF5B9BD5"/>
      </right>
      <top style="thin">
        <color rgb="FF5B9BD5"/>
      </top>
      <bottom style="thin">
        <color rgb="FF5B9BD5"/>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diagonal/>
    </border>
    <border>
      <left style="thin">
        <color rgb="FF7F7F7F"/>
      </left>
      <right style="thin">
        <color rgb="FF7F7F7F"/>
      </right>
      <top style="thin">
        <color auto="1"/>
      </top>
      <bottom style="thin">
        <color rgb="FF7F7F7F"/>
      </bottom>
      <diagonal/>
    </border>
    <border>
      <left/>
      <right style="medium">
        <color auto="1"/>
      </right>
      <top style="thin">
        <color auto="1"/>
      </top>
      <bottom/>
      <diagonal/>
    </border>
    <border>
      <left/>
      <right/>
      <top style="thin">
        <color auto="1"/>
      </top>
      <bottom/>
      <diagonal/>
    </border>
    <border>
      <left/>
      <right style="thin">
        <color auto="1"/>
      </right>
      <top style="thin">
        <color rgb="FF5B9BD5"/>
      </top>
      <bottom style="thin">
        <color rgb="FF5B9BD5"/>
      </bottom>
      <diagonal/>
    </border>
    <border>
      <left style="thin">
        <color rgb="FF5B9BD5"/>
      </left>
      <right style="medium">
        <color auto="1"/>
      </right>
      <top/>
      <bottom/>
      <diagonal/>
    </border>
    <border>
      <left style="thin">
        <color rgb="FF7F7F7F"/>
      </left>
      <right style="thin">
        <color rgb="FF7F7F7F"/>
      </right>
      <top/>
      <bottom style="thin">
        <color rgb="FF7F7F7F"/>
      </bottom>
      <diagonal/>
    </border>
    <border>
      <left/>
      <right style="thin">
        <color auto="1"/>
      </right>
      <top/>
      <bottom style="thin">
        <color rgb="FF5B9BD5"/>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medium">
        <color auto="1"/>
      </top>
      <bottom style="medium">
        <color auto="1"/>
      </bottom>
      <diagonal/>
    </border>
    <border>
      <left style="medium">
        <color auto="1"/>
      </left>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58">
    <xf numFmtId="0" fontId="0" fillId="0" borderId="0"/>
    <xf numFmtId="164" fontId="22" fillId="0" borderId="0" applyBorder="0" applyProtection="0"/>
    <xf numFmtId="166" fontId="22" fillId="0" borderId="0" applyBorder="0" applyProtection="0"/>
    <xf numFmtId="9" fontId="22" fillId="0" borderId="0" applyBorder="0" applyProtection="0"/>
    <xf numFmtId="0" fontId="22" fillId="2" borderId="0" applyBorder="0" applyProtection="0"/>
    <xf numFmtId="0" fontId="22" fillId="3" borderId="0" applyBorder="0" applyProtection="0"/>
    <xf numFmtId="0" fontId="22" fillId="4" borderId="0" applyBorder="0" applyProtection="0"/>
    <xf numFmtId="0" fontId="22" fillId="5" borderId="0" applyBorder="0" applyProtection="0"/>
    <xf numFmtId="0" fontId="22" fillId="6" borderId="0" applyBorder="0" applyProtection="0"/>
    <xf numFmtId="0" fontId="1" fillId="7" borderId="0" applyBorder="0" applyProtection="0"/>
    <xf numFmtId="0" fontId="2" fillId="8" borderId="0" applyBorder="0" applyProtection="0"/>
    <xf numFmtId="164" fontId="22" fillId="0" borderId="0" applyBorder="0" applyProtection="0"/>
    <xf numFmtId="165" fontId="22" fillId="0" borderId="0" applyBorder="0" applyProtection="0"/>
    <xf numFmtId="164" fontId="22" fillId="0" borderId="0" applyBorder="0" applyProtection="0"/>
    <xf numFmtId="164" fontId="22" fillId="0" borderId="0" applyBorder="0" applyProtection="0"/>
    <xf numFmtId="165" fontId="22" fillId="0" borderId="0" applyBorder="0" applyProtection="0"/>
    <xf numFmtId="166" fontId="22" fillId="0" borderId="0" applyBorder="0" applyProtection="0"/>
    <xf numFmtId="167" fontId="22" fillId="0" borderId="0" applyBorder="0" applyProtection="0"/>
    <xf numFmtId="167" fontId="22" fillId="0" borderId="0" applyBorder="0" applyProtection="0"/>
    <xf numFmtId="166" fontId="22" fillId="0" borderId="0" applyBorder="0" applyProtection="0"/>
    <xf numFmtId="166" fontId="22" fillId="0" borderId="0" applyBorder="0" applyProtection="0"/>
    <xf numFmtId="167" fontId="22" fillId="0" borderId="0" applyBorder="0" applyProtection="0"/>
    <xf numFmtId="166" fontId="22" fillId="0" borderId="0" applyBorder="0" applyProtection="0"/>
    <xf numFmtId="167" fontId="22" fillId="0" borderId="0" applyBorder="0" applyProtection="0"/>
    <xf numFmtId="168" fontId="22" fillId="0" borderId="0" applyBorder="0" applyProtection="0">
      <alignment horizontal="center"/>
    </xf>
    <xf numFmtId="0" fontId="3" fillId="9" borderId="0" applyBorder="0" applyProtection="0"/>
    <xf numFmtId="0" fontId="4" fillId="10" borderId="0" applyBorder="0" applyProtection="0"/>
    <xf numFmtId="0" fontId="5" fillId="0" borderId="0"/>
    <xf numFmtId="0" fontId="5" fillId="0" borderId="0"/>
    <xf numFmtId="0" fontId="22" fillId="0" borderId="0"/>
    <xf numFmtId="0" fontId="22" fillId="0" borderId="0"/>
    <xf numFmtId="0" fontId="22" fillId="0" borderId="0"/>
    <xf numFmtId="0" fontId="22" fillId="0" borderId="0"/>
    <xf numFmtId="0" fontId="6" fillId="0" borderId="0"/>
    <xf numFmtId="9" fontId="22" fillId="0" borderId="0" applyBorder="0" applyProtection="0"/>
    <xf numFmtId="9" fontId="22" fillId="0" borderId="0" applyBorder="0" applyProtection="0"/>
    <xf numFmtId="9" fontId="22" fillId="0" borderId="0" applyBorder="0" applyProtection="0"/>
    <xf numFmtId="0" fontId="10" fillId="11" borderId="1" applyProtection="0"/>
    <xf numFmtId="168" fontId="22" fillId="0" borderId="0" applyBorder="0" applyProtection="0"/>
    <xf numFmtId="0" fontId="22" fillId="2" borderId="0" applyBorder="0" applyProtection="0"/>
    <xf numFmtId="0" fontId="22" fillId="12" borderId="0" applyBorder="0" applyProtection="0"/>
    <xf numFmtId="0" fontId="22" fillId="13" borderId="0" applyBorder="0" applyProtection="0"/>
    <xf numFmtId="0" fontId="22" fillId="3" borderId="0" applyBorder="0" applyProtection="0"/>
    <xf numFmtId="0" fontId="22" fillId="14" borderId="0" applyBorder="0" applyProtection="0"/>
    <xf numFmtId="177" fontId="22" fillId="0" borderId="0" applyBorder="0" applyProtection="0"/>
    <xf numFmtId="0" fontId="1" fillId="15" borderId="0" applyBorder="0" applyProtection="0"/>
    <xf numFmtId="0" fontId="18" fillId="16" borderId="1" applyProtection="0"/>
    <xf numFmtId="0" fontId="22" fillId="17" borderId="0" applyBorder="0" applyProtection="0"/>
    <xf numFmtId="0" fontId="22" fillId="18" borderId="0" applyBorder="0" applyProtection="0"/>
    <xf numFmtId="0" fontId="22" fillId="19" borderId="0" applyBorder="0" applyProtection="0"/>
    <xf numFmtId="0" fontId="1" fillId="20" borderId="0" applyBorder="0" applyProtection="0"/>
    <xf numFmtId="0" fontId="22" fillId="4" borderId="0" applyBorder="0" applyProtection="0"/>
    <xf numFmtId="0" fontId="4" fillId="10" borderId="0" applyBorder="0" applyProtection="0"/>
    <xf numFmtId="0" fontId="22" fillId="6" borderId="0" applyBorder="0" applyProtection="0"/>
    <xf numFmtId="0" fontId="22" fillId="5" borderId="0" applyBorder="0" applyProtection="0"/>
    <xf numFmtId="0" fontId="1" fillId="7" borderId="0" applyBorder="0" applyProtection="0"/>
    <xf numFmtId="0" fontId="3" fillId="9" borderId="0" applyBorder="0" applyProtection="0"/>
    <xf numFmtId="0" fontId="2" fillId="8" borderId="0" applyBorder="0" applyProtection="0"/>
  </cellStyleXfs>
  <cellXfs count="567">
    <xf numFmtId="0" fontId="0" fillId="0" borderId="0" xfId="0"/>
    <xf numFmtId="0" fontId="7" fillId="0" borderId="0" xfId="0" applyFont="1" applyAlignment="1">
      <alignment vertical="center"/>
    </xf>
    <xf numFmtId="0" fontId="5" fillId="0" borderId="0" xfId="0" applyFont="1" applyAlignment="1">
      <alignment vertical="center"/>
    </xf>
    <xf numFmtId="0" fontId="0" fillId="0" borderId="0" xfId="0" applyFont="1"/>
    <xf numFmtId="0" fontId="0" fillId="21" borderId="2" xfId="0" applyFont="1" applyFill="1" applyBorder="1"/>
    <xf numFmtId="0" fontId="0" fillId="21" borderId="3" xfId="0" applyFont="1" applyFill="1" applyBorder="1"/>
    <xf numFmtId="0" fontId="0" fillId="21" borderId="4" xfId="0" applyFont="1" applyFill="1" applyBorder="1"/>
    <xf numFmtId="0" fontId="0" fillId="21" borderId="5" xfId="0" applyFont="1" applyFill="1" applyBorder="1"/>
    <xf numFmtId="0" fontId="0" fillId="21" borderId="0" xfId="0" applyFont="1" applyFill="1" applyBorder="1"/>
    <xf numFmtId="0" fontId="0" fillId="21" borderId="6" xfId="0" applyFont="1" applyFill="1" applyBorder="1"/>
    <xf numFmtId="0" fontId="0" fillId="21" borderId="7" xfId="0" applyFont="1" applyFill="1" applyBorder="1"/>
    <xf numFmtId="0" fontId="0" fillId="21" borderId="8" xfId="0" applyFont="1" applyFill="1" applyBorder="1"/>
    <xf numFmtId="0" fontId="0" fillId="21" borderId="9" xfId="0" applyFont="1" applyFill="1" applyBorder="1"/>
    <xf numFmtId="0" fontId="9" fillId="19" borderId="5" xfId="0" applyFont="1" applyFill="1" applyBorder="1"/>
    <xf numFmtId="0" fontId="9" fillId="19" borderId="0" xfId="0" applyFont="1" applyFill="1" applyBorder="1"/>
    <xf numFmtId="169" fontId="9" fillId="19" borderId="3" xfId="0" applyNumberFormat="1" applyFont="1" applyFill="1" applyBorder="1" applyAlignment="1">
      <alignment horizontal="left"/>
    </xf>
    <xf numFmtId="0" fontId="0" fillId="19" borderId="0" xfId="0" applyFont="1" applyFill="1" applyBorder="1"/>
    <xf numFmtId="0" fontId="0" fillId="19" borderId="6" xfId="0" applyFont="1" applyFill="1" applyBorder="1"/>
    <xf numFmtId="0" fontId="0" fillId="19" borderId="7" xfId="0" applyFont="1" applyFill="1" applyBorder="1"/>
    <xf numFmtId="0" fontId="9" fillId="19" borderId="8" xfId="0" applyFont="1" applyFill="1" applyBorder="1"/>
    <xf numFmtId="169" fontId="9" fillId="19" borderId="8" xfId="0" applyNumberFormat="1" applyFont="1" applyFill="1" applyBorder="1" applyAlignment="1">
      <alignment horizontal="left"/>
    </xf>
    <xf numFmtId="0" fontId="0" fillId="19" borderId="8" xfId="0" applyFont="1" applyFill="1" applyBorder="1"/>
    <xf numFmtId="0" fontId="0" fillId="19" borderId="9" xfId="0" applyFont="1" applyFill="1" applyBorder="1"/>
    <xf numFmtId="0" fontId="9" fillId="3" borderId="10" xfId="0" applyFont="1" applyFill="1" applyBorder="1"/>
    <xf numFmtId="0" fontId="0" fillId="3" borderId="11" xfId="0" applyFont="1" applyFill="1" applyBorder="1"/>
    <xf numFmtId="0" fontId="0" fillId="3" borderId="12" xfId="0" applyFont="1" applyFill="1" applyBorder="1"/>
    <xf numFmtId="0" fontId="9" fillId="14" borderId="2" xfId="0" applyFont="1" applyFill="1" applyBorder="1" applyAlignment="1">
      <alignment horizontal="right"/>
    </xf>
    <xf numFmtId="0" fontId="0" fillId="19" borderId="13" xfId="37" applyFont="1" applyFill="1" applyBorder="1" applyAlignment="1" applyProtection="1">
      <alignment horizontal="center" vertical="center" wrapText="1"/>
    </xf>
    <xf numFmtId="0" fontId="0" fillId="14" borderId="4" xfId="0" applyFont="1" applyFill="1" applyBorder="1"/>
    <xf numFmtId="0" fontId="9" fillId="14" borderId="5" xfId="0" applyFont="1" applyFill="1" applyBorder="1" applyAlignment="1">
      <alignment horizontal="right"/>
    </xf>
    <xf numFmtId="0" fontId="0" fillId="19" borderId="1" xfId="37" applyFont="1" applyFill="1" applyBorder="1" applyAlignment="1" applyProtection="1">
      <alignment horizontal="center" vertical="center" wrapText="1"/>
    </xf>
    <xf numFmtId="169" fontId="9" fillId="14" borderId="6" xfId="0" applyNumberFormat="1" applyFont="1" applyFill="1" applyBorder="1" applyAlignment="1">
      <alignment horizontal="left"/>
    </xf>
    <xf numFmtId="0" fontId="0" fillId="19" borderId="1" xfId="37" applyFont="1" applyFill="1" applyBorder="1" applyAlignment="1" applyProtection="1">
      <alignment horizontal="center"/>
    </xf>
    <xf numFmtId="169" fontId="0" fillId="14" borderId="6" xfId="0" applyNumberFormat="1" applyFont="1" applyFill="1" applyBorder="1" applyAlignment="1">
      <alignment horizontal="left"/>
    </xf>
    <xf numFmtId="168" fontId="0" fillId="0" borderId="0" xfId="0" applyNumberFormat="1" applyFont="1"/>
    <xf numFmtId="170" fontId="0" fillId="19" borderId="1" xfId="1" applyNumberFormat="1" applyFont="1" applyFill="1" applyBorder="1" applyAlignment="1" applyProtection="1"/>
    <xf numFmtId="170" fontId="0" fillId="19" borderId="1" xfId="1" applyNumberFormat="1" applyFont="1" applyFill="1" applyBorder="1" applyAlignment="1" applyProtection="1">
      <alignment horizontal="center"/>
    </xf>
    <xf numFmtId="0" fontId="0" fillId="14" borderId="5" xfId="0" applyFont="1" applyFill="1" applyBorder="1"/>
    <xf numFmtId="0" fontId="0" fillId="14" borderId="0" xfId="0" applyFont="1" applyFill="1" applyBorder="1"/>
    <xf numFmtId="0" fontId="0" fillId="14" borderId="6" xfId="0" applyFont="1" applyFill="1" applyBorder="1"/>
    <xf numFmtId="170" fontId="0" fillId="3" borderId="11" xfId="1" applyNumberFormat="1" applyFont="1" applyFill="1" applyBorder="1" applyAlignment="1" applyProtection="1"/>
    <xf numFmtId="169" fontId="0" fillId="3" borderId="11" xfId="0" applyNumberFormat="1" applyFont="1" applyFill="1" applyBorder="1" applyAlignment="1">
      <alignment horizontal="left"/>
    </xf>
    <xf numFmtId="0" fontId="0" fillId="14" borderId="2" xfId="0" applyFont="1" applyFill="1" applyBorder="1" applyAlignment="1">
      <alignment horizontal="right"/>
    </xf>
    <xf numFmtId="0" fontId="0" fillId="14" borderId="3" xfId="0" applyFont="1" applyFill="1" applyBorder="1"/>
    <xf numFmtId="169" fontId="0" fillId="14" borderId="4" xfId="0" applyNumberFormat="1" applyFont="1" applyFill="1" applyBorder="1" applyAlignment="1">
      <alignment horizontal="left"/>
    </xf>
    <xf numFmtId="0" fontId="0" fillId="14" borderId="2" xfId="0" applyFont="1" applyFill="1" applyBorder="1"/>
    <xf numFmtId="0" fontId="9" fillId="14" borderId="3" xfId="0" applyFont="1" applyFill="1" applyBorder="1"/>
    <xf numFmtId="0" fontId="9" fillId="14" borderId="0" xfId="0" applyFont="1" applyFill="1" applyBorder="1"/>
    <xf numFmtId="0" fontId="9" fillId="14" borderId="14" xfId="0" applyFont="1" applyFill="1" applyBorder="1"/>
    <xf numFmtId="164" fontId="0" fillId="19" borderId="15" xfId="1" applyFont="1" applyFill="1" applyBorder="1" applyAlignment="1" applyProtection="1">
      <alignment horizontal="center" vertical="center" wrapText="1"/>
    </xf>
    <xf numFmtId="169" fontId="9" fillId="14" borderId="5" xfId="0" applyNumberFormat="1" applyFont="1" applyFill="1" applyBorder="1" applyAlignment="1">
      <alignment horizontal="right"/>
    </xf>
    <xf numFmtId="168" fontId="0" fillId="19" borderId="16" xfId="38" applyFont="1" applyFill="1" applyBorder="1" applyAlignment="1" applyProtection="1">
      <alignment horizontal="center" vertical="center" wrapText="1"/>
    </xf>
    <xf numFmtId="0" fontId="9" fillId="14" borderId="6" xfId="0" applyFont="1" applyFill="1" applyBorder="1"/>
    <xf numFmtId="168" fontId="0" fillId="2" borderId="17" xfId="38" applyFont="1" applyFill="1" applyBorder="1" applyAlignment="1" applyProtection="1"/>
    <xf numFmtId="0" fontId="0" fillId="14" borderId="5" xfId="0" applyFont="1" applyFill="1" applyBorder="1" applyAlignment="1">
      <alignment horizontal="right"/>
    </xf>
    <xf numFmtId="0" fontId="9" fillId="14" borderId="0" xfId="0" applyFont="1" applyFill="1" applyBorder="1" applyAlignment="1">
      <alignment horizontal="center"/>
    </xf>
    <xf numFmtId="169" fontId="9" fillId="14" borderId="6" xfId="0" applyNumberFormat="1" applyFont="1" applyFill="1" applyBorder="1" applyAlignment="1">
      <alignment horizontal="center"/>
    </xf>
    <xf numFmtId="0" fontId="0" fillId="19" borderId="18" xfId="37" applyFont="1" applyFill="1" applyBorder="1" applyAlignment="1" applyProtection="1">
      <alignment horizontal="center" vertical="center" wrapText="1"/>
    </xf>
    <xf numFmtId="0" fontId="9" fillId="14" borderId="6" xfId="0" applyFont="1" applyFill="1" applyBorder="1" applyAlignment="1">
      <alignment horizontal="left"/>
    </xf>
    <xf numFmtId="3" fontId="0" fillId="19" borderId="1" xfId="37" applyNumberFormat="1" applyFont="1" applyFill="1" applyBorder="1" applyAlignment="1" applyProtection="1">
      <alignment horizontal="center" vertical="center" wrapText="1"/>
    </xf>
    <xf numFmtId="168" fontId="0" fillId="19" borderId="1" xfId="38" applyFont="1" applyFill="1" applyBorder="1" applyAlignment="1" applyProtection="1">
      <alignment horizontal="center" vertical="center" wrapText="1"/>
    </xf>
    <xf numFmtId="3" fontId="0" fillId="2" borderId="1" xfId="37" applyNumberFormat="1" applyFont="1" applyFill="1" applyBorder="1" applyAlignment="1" applyProtection="1">
      <alignment horizontal="center" vertical="center" wrapText="1"/>
    </xf>
    <xf numFmtId="169" fontId="0" fillId="0" borderId="0" xfId="0" applyNumberFormat="1" applyFont="1" applyAlignment="1">
      <alignment horizontal="center"/>
    </xf>
    <xf numFmtId="171" fontId="0" fillId="19" borderId="1" xfId="37" applyNumberFormat="1" applyFont="1" applyFill="1" applyBorder="1" applyAlignment="1" applyProtection="1">
      <alignment horizontal="center" vertical="center" wrapText="1"/>
    </xf>
    <xf numFmtId="0" fontId="9" fillId="14" borderId="19" xfId="0" applyFont="1" applyFill="1" applyBorder="1" applyAlignment="1">
      <alignment horizontal="right"/>
    </xf>
    <xf numFmtId="168" fontId="0" fillId="2" borderId="20" xfId="38" applyFont="1" applyFill="1" applyBorder="1" applyAlignment="1" applyProtection="1"/>
    <xf numFmtId="0" fontId="0" fillId="14" borderId="7" xfId="0" applyFont="1" applyFill="1" applyBorder="1"/>
    <xf numFmtId="0" fontId="0" fillId="14" borderId="8" xfId="0" applyFont="1" applyFill="1" applyBorder="1"/>
    <xf numFmtId="169" fontId="0" fillId="14" borderId="9" xfId="0" applyNumberFormat="1" applyFont="1" applyFill="1" applyBorder="1" applyAlignment="1">
      <alignment horizontal="left"/>
    </xf>
    <xf numFmtId="0" fontId="0" fillId="2" borderId="2" xfId="39" applyFont="1" applyBorder="1" applyAlignment="1" applyProtection="1"/>
    <xf numFmtId="0" fontId="0" fillId="2" borderId="3" xfId="39" applyFont="1" applyBorder="1" applyAlignment="1" applyProtection="1"/>
    <xf numFmtId="0" fontId="0" fillId="22" borderId="3" xfId="39" applyFont="1" applyFill="1" applyBorder="1" applyAlignment="1" applyProtection="1"/>
    <xf numFmtId="0" fontId="0" fillId="2" borderId="4" xfId="39" applyFont="1" applyBorder="1" applyAlignment="1" applyProtection="1"/>
    <xf numFmtId="0" fontId="0" fillId="2" borderId="7" xfId="39" applyFont="1" applyBorder="1" applyAlignment="1" applyProtection="1"/>
    <xf numFmtId="0" fontId="0" fillId="2" borderId="8" xfId="39" applyFont="1" applyBorder="1" applyAlignment="1" applyProtection="1"/>
    <xf numFmtId="0" fontId="0" fillId="22" borderId="8" xfId="39" applyFont="1" applyFill="1" applyBorder="1" applyAlignment="1" applyProtection="1"/>
    <xf numFmtId="0" fontId="0" fillId="2" borderId="9" xfId="39" applyFont="1" applyBorder="1" applyAlignment="1" applyProtection="1"/>
    <xf numFmtId="0" fontId="0" fillId="22" borderId="3" xfId="39" applyFont="1" applyFill="1" applyBorder="1" applyAlignment="1" applyProtection="1">
      <alignment horizontal="center" vertical="center" wrapText="1"/>
    </xf>
    <xf numFmtId="0" fontId="0" fillId="2" borderId="4" xfId="39" applyFont="1" applyBorder="1" applyAlignment="1" applyProtection="1">
      <alignment horizontal="center" vertical="center" wrapText="1"/>
    </xf>
    <xf numFmtId="0" fontId="0" fillId="2" borderId="5" xfId="39" applyFont="1" applyBorder="1" applyAlignment="1" applyProtection="1"/>
    <xf numFmtId="0" fontId="0" fillId="2" borderId="0" xfId="39" applyFont="1" applyBorder="1" applyAlignment="1" applyProtection="1"/>
    <xf numFmtId="0" fontId="0" fillId="22" borderId="0" xfId="39" applyFont="1" applyFill="1" applyBorder="1" applyAlignment="1" applyProtection="1"/>
    <xf numFmtId="0" fontId="0" fillId="2" borderId="6" xfId="39" applyFont="1" applyBorder="1" applyAlignment="1" applyProtection="1">
      <alignment horizontal="center"/>
    </xf>
    <xf numFmtId="0" fontId="0" fillId="22" borderId="8" xfId="39" applyFont="1" applyFill="1" applyBorder="1" applyAlignment="1" applyProtection="1"/>
    <xf numFmtId="0" fontId="0" fillId="2" borderId="9" xfId="39" applyFont="1" applyBorder="1" applyAlignment="1" applyProtection="1">
      <alignment horizontal="center"/>
    </xf>
    <xf numFmtId="9" fontId="9" fillId="14" borderId="0" xfId="3" applyFont="1" applyFill="1" applyBorder="1" applyAlignment="1" applyProtection="1"/>
    <xf numFmtId="0" fontId="0" fillId="14" borderId="0" xfId="0" applyFont="1" applyFill="1" applyBorder="1" applyAlignment="1">
      <alignment horizontal="center"/>
    </xf>
    <xf numFmtId="9" fontId="0" fillId="22" borderId="3" xfId="39" applyNumberFormat="1" applyFont="1" applyFill="1" applyBorder="1" applyAlignment="1" applyProtection="1"/>
    <xf numFmtId="9" fontId="0" fillId="2" borderId="4" xfId="39" applyNumberFormat="1" applyFont="1" applyBorder="1" applyAlignment="1" applyProtection="1">
      <alignment horizontal="center"/>
    </xf>
    <xf numFmtId="9" fontId="0" fillId="22" borderId="8" xfId="39" applyNumberFormat="1" applyFont="1" applyFill="1" applyBorder="1" applyAlignment="1" applyProtection="1"/>
    <xf numFmtId="9" fontId="0" fillId="2" borderId="9" xfId="39" applyNumberFormat="1" applyFont="1" applyBorder="1" applyAlignment="1" applyProtection="1">
      <alignment horizontal="center"/>
    </xf>
    <xf numFmtId="0" fontId="0" fillId="14" borderId="5" xfId="39" applyFont="1" applyFill="1" applyBorder="1" applyAlignment="1" applyProtection="1"/>
    <xf numFmtId="0" fontId="0" fillId="14" borderId="0" xfId="39" applyFont="1" applyFill="1" applyBorder="1" applyAlignment="1" applyProtection="1"/>
    <xf numFmtId="9" fontId="0" fillId="14" borderId="0" xfId="39" applyNumberFormat="1" applyFont="1" applyFill="1" applyBorder="1" applyAlignment="1" applyProtection="1"/>
    <xf numFmtId="0" fontId="9" fillId="2" borderId="2" xfId="40" applyFont="1" applyFill="1" applyBorder="1" applyAlignment="1" applyProtection="1"/>
    <xf numFmtId="0" fontId="9" fillId="2" borderId="3" xfId="40" applyFont="1" applyFill="1" applyBorder="1" applyAlignment="1" applyProtection="1"/>
    <xf numFmtId="168" fontId="9" fillId="22" borderId="3" xfId="40" applyNumberFormat="1" applyFont="1" applyFill="1" applyBorder="1" applyAlignment="1" applyProtection="1"/>
    <xf numFmtId="168" fontId="9" fillId="2" borderId="4" xfId="40" applyNumberFormat="1" applyFont="1" applyFill="1" applyBorder="1" applyAlignment="1" applyProtection="1"/>
    <xf numFmtId="0" fontId="0" fillId="2" borderId="5" xfId="40" applyFont="1" applyFill="1" applyBorder="1" applyAlignment="1" applyProtection="1"/>
    <xf numFmtId="0" fontId="0" fillId="2" borderId="0" xfId="40" applyFont="1" applyFill="1" applyBorder="1" applyAlignment="1" applyProtection="1"/>
    <xf numFmtId="166" fontId="0" fillId="22" borderId="0" xfId="40" applyNumberFormat="1" applyFont="1" applyFill="1" applyBorder="1" applyAlignment="1" applyProtection="1"/>
    <xf numFmtId="166" fontId="0" fillId="2" borderId="6" xfId="40" applyNumberFormat="1" applyFont="1" applyFill="1" applyBorder="1" applyAlignment="1" applyProtection="1"/>
    <xf numFmtId="0" fontId="0" fillId="2" borderId="7" xfId="40" applyFont="1" applyFill="1" applyBorder="1" applyAlignment="1" applyProtection="1"/>
    <xf numFmtId="0" fontId="0" fillId="2" borderId="8" xfId="40" applyFont="1" applyFill="1" applyBorder="1" applyAlignment="1" applyProtection="1"/>
    <xf numFmtId="166" fontId="0" fillId="22" borderId="8" xfId="40" applyNumberFormat="1" applyFont="1" applyFill="1" applyBorder="1" applyAlignment="1" applyProtection="1"/>
    <xf numFmtId="166" fontId="0" fillId="2" borderId="9" xfId="40" applyNumberFormat="1" applyFont="1" applyFill="1" applyBorder="1" applyAlignment="1" applyProtection="1"/>
    <xf numFmtId="0" fontId="9" fillId="2" borderId="2" xfId="41" applyFont="1" applyFill="1" applyBorder="1" applyAlignment="1" applyProtection="1"/>
    <xf numFmtId="0" fontId="0" fillId="2" borderId="3" xfId="41" applyFont="1" applyFill="1" applyBorder="1" applyAlignment="1" applyProtection="1"/>
    <xf numFmtId="0" fontId="11" fillId="22" borderId="3" xfId="41" applyFont="1" applyFill="1" applyBorder="1" applyAlignment="1" applyProtection="1"/>
    <xf numFmtId="0" fontId="12" fillId="2" borderId="4" xfId="41" applyFont="1" applyFill="1" applyBorder="1" applyAlignment="1" applyProtection="1"/>
    <xf numFmtId="0" fontId="0" fillId="2" borderId="5" xfId="41" applyFont="1" applyFill="1" applyBorder="1" applyAlignment="1" applyProtection="1"/>
    <xf numFmtId="0" fontId="12" fillId="2" borderId="0" xfId="41" applyFont="1" applyFill="1" applyBorder="1" applyAlignment="1" applyProtection="1"/>
    <xf numFmtId="164" fontId="0" fillId="22" borderId="0" xfId="11" applyFont="1" applyFill="1" applyBorder="1" applyAlignment="1" applyProtection="1"/>
    <xf numFmtId="164" fontId="0" fillId="2" borderId="6" xfId="11" applyFont="1" applyFill="1" applyBorder="1" applyAlignment="1" applyProtection="1"/>
    <xf numFmtId="0" fontId="0" fillId="2" borderId="7" xfId="41" applyFont="1" applyFill="1" applyBorder="1" applyAlignment="1" applyProtection="1"/>
    <xf numFmtId="0" fontId="12" fillId="2" borderId="8" xfId="41" applyFont="1" applyFill="1" applyBorder="1" applyAlignment="1" applyProtection="1"/>
    <xf numFmtId="164" fontId="0" fillId="22" borderId="8" xfId="11" applyFont="1" applyFill="1" applyBorder="1" applyAlignment="1" applyProtection="1"/>
    <xf numFmtId="164" fontId="0" fillId="2" borderId="9" xfId="11" applyFont="1" applyFill="1" applyBorder="1" applyAlignment="1" applyProtection="1"/>
    <xf numFmtId="0" fontId="0" fillId="14" borderId="5" xfId="41" applyFont="1" applyFill="1" applyBorder="1" applyAlignment="1" applyProtection="1"/>
    <xf numFmtId="0" fontId="0" fillId="14" borderId="0" xfId="41" applyFont="1" applyFill="1" applyBorder="1" applyAlignment="1" applyProtection="1"/>
    <xf numFmtId="164" fontId="0" fillId="14" borderId="0" xfId="11" applyFont="1" applyFill="1" applyBorder="1" applyAlignment="1" applyProtection="1"/>
    <xf numFmtId="0" fontId="9" fillId="3" borderId="11" xfId="0" applyFont="1" applyFill="1" applyBorder="1"/>
    <xf numFmtId="0" fontId="9" fillId="3" borderId="12" xfId="0" applyFont="1" applyFill="1" applyBorder="1"/>
    <xf numFmtId="0" fontId="9" fillId="2" borderId="2" xfId="42" applyFont="1" applyFill="1" applyBorder="1" applyAlignment="1" applyProtection="1"/>
    <xf numFmtId="0" fontId="0" fillId="2" borderId="3" xfId="42" applyFont="1" applyFill="1" applyBorder="1" applyAlignment="1" applyProtection="1"/>
    <xf numFmtId="0" fontId="0" fillId="22" borderId="3" xfId="42" applyFont="1" applyFill="1" applyBorder="1" applyAlignment="1" applyProtection="1"/>
    <xf numFmtId="0" fontId="0" fillId="2" borderId="4" xfId="42" applyFont="1" applyFill="1" applyBorder="1" applyAlignment="1" applyProtection="1"/>
    <xf numFmtId="0" fontId="0" fillId="2" borderId="5" xfId="42" applyFont="1" applyFill="1" applyBorder="1" applyAlignment="1" applyProtection="1">
      <alignment horizontal="right"/>
    </xf>
    <xf numFmtId="168" fontId="0" fillId="2" borderId="0" xfId="42" applyNumberFormat="1" applyFont="1" applyFill="1" applyBorder="1" applyAlignment="1" applyProtection="1"/>
    <xf numFmtId="168" fontId="0" fillId="22" borderId="0" xfId="42" applyNumberFormat="1" applyFont="1" applyFill="1" applyBorder="1" applyAlignment="1" applyProtection="1"/>
    <xf numFmtId="168" fontId="0" fillId="2" borderId="6" xfId="42" applyNumberFormat="1" applyFont="1" applyFill="1" applyBorder="1" applyAlignment="1" applyProtection="1"/>
    <xf numFmtId="9" fontId="0" fillId="2" borderId="0" xfId="42" applyNumberFormat="1" applyFont="1" applyFill="1" applyBorder="1" applyAlignment="1" applyProtection="1"/>
    <xf numFmtId="172" fontId="0" fillId="2" borderId="0" xfId="3" applyNumberFormat="1" applyFont="1" applyFill="1" applyBorder="1" applyAlignment="1" applyProtection="1"/>
    <xf numFmtId="0" fontId="0" fillId="2" borderId="7" xfId="42" applyFont="1" applyFill="1" applyBorder="1" applyAlignment="1" applyProtection="1"/>
    <xf numFmtId="173" fontId="0" fillId="2" borderId="8" xfId="42" applyNumberFormat="1" applyFont="1" applyFill="1" applyBorder="1" applyAlignment="1" applyProtection="1"/>
    <xf numFmtId="168" fontId="0" fillId="22" borderId="21" xfId="42" applyNumberFormat="1" applyFont="1" applyFill="1" applyBorder="1" applyAlignment="1" applyProtection="1"/>
    <xf numFmtId="168" fontId="0" fillId="2" borderId="22" xfId="42" applyNumberFormat="1" applyFont="1" applyFill="1" applyBorder="1" applyAlignment="1" applyProtection="1"/>
    <xf numFmtId="0" fontId="1" fillId="14" borderId="6" xfId="0" applyFont="1" applyFill="1" applyBorder="1"/>
    <xf numFmtId="0" fontId="1" fillId="0" borderId="0" xfId="0" applyFont="1"/>
    <xf numFmtId="168" fontId="13" fillId="14" borderId="5" xfId="38" applyFont="1" applyFill="1" applyBorder="1" applyAlignment="1" applyProtection="1"/>
    <xf numFmtId="168" fontId="13" fillId="14" borderId="0" xfId="38" applyFont="1" applyFill="1" applyBorder="1" applyAlignment="1" applyProtection="1"/>
    <xf numFmtId="0" fontId="9" fillId="2" borderId="2" xfId="43" applyFont="1" applyFill="1" applyBorder="1" applyAlignment="1" applyProtection="1"/>
    <xf numFmtId="173" fontId="0" fillId="2" borderId="3" xfId="43" applyNumberFormat="1" applyFont="1" applyFill="1" applyBorder="1" applyAlignment="1" applyProtection="1"/>
    <xf numFmtId="168" fontId="0" fillId="22" borderId="3" xfId="43" applyNumberFormat="1" applyFont="1" applyFill="1" applyBorder="1" applyAlignment="1" applyProtection="1"/>
    <xf numFmtId="168" fontId="0" fillId="2" borderId="4" xfId="43" applyNumberFormat="1" applyFont="1" applyFill="1" applyBorder="1" applyAlignment="1" applyProtection="1"/>
    <xf numFmtId="0" fontId="0" fillId="2" borderId="5" xfId="43" applyFont="1" applyFill="1" applyBorder="1" applyAlignment="1" applyProtection="1">
      <alignment horizontal="right"/>
    </xf>
    <xf numFmtId="173" fontId="0" fillId="2" borderId="0" xfId="43" applyNumberFormat="1" applyFont="1" applyFill="1" applyBorder="1" applyAlignment="1" applyProtection="1"/>
    <xf numFmtId="168" fontId="0" fillId="22" borderId="0" xfId="43" applyNumberFormat="1" applyFont="1" applyFill="1" applyBorder="1" applyAlignment="1" applyProtection="1"/>
    <xf numFmtId="168" fontId="0" fillId="2" borderId="6" xfId="43" applyNumberFormat="1" applyFont="1" applyFill="1" applyBorder="1" applyAlignment="1" applyProtection="1"/>
    <xf numFmtId="168" fontId="0" fillId="2" borderId="0" xfId="43" applyNumberFormat="1" applyFont="1" applyFill="1" applyBorder="1" applyAlignment="1" applyProtection="1"/>
    <xf numFmtId="0" fontId="0" fillId="2" borderId="7" xfId="43" applyFont="1" applyFill="1" applyBorder="1" applyAlignment="1" applyProtection="1"/>
    <xf numFmtId="173" fontId="0" fillId="2" borderId="8" xfId="43" applyNumberFormat="1" applyFont="1" applyFill="1" applyBorder="1" applyAlignment="1" applyProtection="1"/>
    <xf numFmtId="168" fontId="0" fillId="22" borderId="21" xfId="43" applyNumberFormat="1" applyFont="1" applyFill="1" applyBorder="1" applyAlignment="1" applyProtection="1"/>
    <xf numFmtId="168" fontId="0" fillId="2" borderId="22" xfId="43" applyNumberFormat="1" applyFont="1" applyFill="1" applyBorder="1" applyAlignment="1" applyProtection="1"/>
    <xf numFmtId="168" fontId="13" fillId="14" borderId="2" xfId="38" applyFont="1" applyFill="1" applyBorder="1" applyAlignment="1" applyProtection="1"/>
    <xf numFmtId="0" fontId="9" fillId="2" borderId="5" xfId="43" applyFont="1" applyFill="1" applyBorder="1" applyAlignment="1" applyProtection="1"/>
    <xf numFmtId="174" fontId="0" fillId="2" borderId="0" xfId="43" applyNumberFormat="1" applyFont="1" applyFill="1" applyBorder="1" applyAlignment="1" applyProtection="1"/>
    <xf numFmtId="3" fontId="0" fillId="22" borderId="23" xfId="43" applyNumberFormat="1" applyFont="1" applyFill="1" applyBorder="1" applyAlignment="1" applyProtection="1"/>
    <xf numFmtId="3" fontId="0" fillId="2" borderId="24" xfId="43" applyNumberFormat="1" applyFont="1" applyFill="1" applyBorder="1" applyAlignment="1" applyProtection="1"/>
    <xf numFmtId="0" fontId="0" fillId="2" borderId="7" xfId="43" applyFont="1" applyFill="1" applyBorder="1" applyAlignment="1" applyProtection="1">
      <alignment horizontal="left"/>
    </xf>
    <xf numFmtId="174" fontId="0" fillId="2" borderId="8" xfId="43" applyNumberFormat="1" applyFont="1" applyFill="1" applyBorder="1" applyAlignment="1" applyProtection="1"/>
    <xf numFmtId="168" fontId="0" fillId="22" borderId="8" xfId="43" applyNumberFormat="1" applyFont="1" applyFill="1" applyBorder="1" applyAlignment="1" applyProtection="1"/>
    <xf numFmtId="0" fontId="0" fillId="14" borderId="9" xfId="0" applyFont="1" applyFill="1" applyBorder="1"/>
    <xf numFmtId="0" fontId="0" fillId="0" borderId="8" xfId="0" applyFont="1" applyBorder="1"/>
    <xf numFmtId="0" fontId="9" fillId="2" borderId="2" xfId="43" applyFont="1" applyFill="1" applyBorder="1" applyAlignment="1" applyProtection="1">
      <alignment horizontal="left"/>
    </xf>
    <xf numFmtId="0" fontId="0" fillId="2" borderId="3" xfId="43" applyFont="1" applyFill="1" applyBorder="1" applyAlignment="1" applyProtection="1"/>
    <xf numFmtId="0" fontId="0" fillId="2" borderId="0" xfId="43" applyFont="1" applyFill="1" applyBorder="1" applyAlignment="1" applyProtection="1"/>
    <xf numFmtId="168" fontId="0" fillId="22" borderId="23" xfId="43" applyNumberFormat="1" applyFont="1" applyFill="1" applyBorder="1" applyAlignment="1" applyProtection="1"/>
    <xf numFmtId="168" fontId="0" fillId="2" borderId="24" xfId="43" applyNumberFormat="1" applyFont="1" applyFill="1" applyBorder="1" applyAlignment="1" applyProtection="1"/>
    <xf numFmtId="0" fontId="0" fillId="2" borderId="8" xfId="43" applyFont="1" applyFill="1" applyBorder="1" applyAlignment="1" applyProtection="1"/>
    <xf numFmtId="168" fontId="0" fillId="2" borderId="9" xfId="43" applyNumberFormat="1" applyFont="1" applyFill="1" applyBorder="1" applyAlignment="1" applyProtection="1"/>
    <xf numFmtId="168" fontId="1" fillId="14" borderId="6" xfId="38" applyFont="1" applyFill="1" applyBorder="1" applyAlignment="1" applyProtection="1"/>
    <xf numFmtId="0" fontId="9" fillId="2" borderId="3" xfId="43" applyFont="1" applyFill="1" applyBorder="1" applyAlignment="1" applyProtection="1"/>
    <xf numFmtId="168" fontId="9" fillId="22" borderId="3" xfId="42" applyNumberFormat="1" applyFont="1" applyFill="1" applyBorder="1" applyAlignment="1" applyProtection="1"/>
    <xf numFmtId="0" fontId="0" fillId="2" borderId="5" xfId="43" applyFont="1" applyFill="1" applyBorder="1" applyAlignment="1" applyProtection="1"/>
    <xf numFmtId="0" fontId="13" fillId="14" borderId="5" xfId="0" applyFont="1" applyFill="1" applyBorder="1"/>
    <xf numFmtId="0" fontId="13" fillId="14" borderId="0" xfId="0" applyFont="1" applyFill="1" applyBorder="1"/>
    <xf numFmtId="166" fontId="0" fillId="2" borderId="0" xfId="43" applyNumberFormat="1" applyFont="1" applyFill="1" applyBorder="1" applyAlignment="1" applyProtection="1"/>
    <xf numFmtId="166" fontId="0" fillId="2" borderId="8" xfId="43" applyNumberFormat="1" applyFont="1" applyFill="1" applyBorder="1" applyAlignment="1" applyProtection="1"/>
    <xf numFmtId="168" fontId="0" fillId="14" borderId="0" xfId="38" applyFont="1" applyFill="1" applyBorder="1" applyAlignment="1" applyProtection="1"/>
    <xf numFmtId="0" fontId="9" fillId="2" borderId="3" xfId="42" applyFont="1" applyFill="1" applyBorder="1" applyAlignment="1" applyProtection="1"/>
    <xf numFmtId="168" fontId="9" fillId="2" borderId="4" xfId="42" applyNumberFormat="1" applyFont="1" applyFill="1" applyBorder="1" applyAlignment="1" applyProtection="1"/>
    <xf numFmtId="0" fontId="0" fillId="2" borderId="5" xfId="42" applyFont="1" applyFill="1" applyBorder="1" applyAlignment="1" applyProtection="1"/>
    <xf numFmtId="0" fontId="0" fillId="2" borderId="0" xfId="42" applyFont="1" applyFill="1" applyBorder="1" applyAlignment="1" applyProtection="1"/>
    <xf numFmtId="175" fontId="0" fillId="22" borderId="0" xfId="42" applyNumberFormat="1" applyFont="1" applyFill="1" applyBorder="1" applyAlignment="1" applyProtection="1"/>
    <xf numFmtId="175" fontId="0" fillId="2" borderId="6" xfId="42" applyNumberFormat="1" applyFont="1" applyFill="1" applyBorder="1" applyAlignment="1" applyProtection="1"/>
    <xf numFmtId="0" fontId="0" fillId="2" borderId="8" xfId="42" applyFont="1" applyFill="1" applyBorder="1" applyAlignment="1" applyProtection="1"/>
    <xf numFmtId="175" fontId="0" fillId="22" borderId="8" xfId="42" applyNumberFormat="1" applyFont="1" applyFill="1" applyBorder="1" applyAlignment="1" applyProtection="1"/>
    <xf numFmtId="175" fontId="0" fillId="2" borderId="9" xfId="42" applyNumberFormat="1" applyFont="1" applyFill="1" applyBorder="1" applyAlignment="1" applyProtection="1"/>
    <xf numFmtId="0" fontId="9" fillId="19" borderId="2" xfId="0" applyFont="1" applyFill="1" applyBorder="1"/>
    <xf numFmtId="0" fontId="9" fillId="19" borderId="3" xfId="0" applyFont="1" applyFill="1" applyBorder="1"/>
    <xf numFmtId="0" fontId="9" fillId="19" borderId="4" xfId="0" applyFont="1" applyFill="1" applyBorder="1"/>
    <xf numFmtId="0" fontId="9" fillId="0" borderId="0" xfId="0" applyFont="1"/>
    <xf numFmtId="0" fontId="9" fillId="19" borderId="7" xfId="0" applyFont="1" applyFill="1" applyBorder="1"/>
    <xf numFmtId="0" fontId="9" fillId="19" borderId="9" xfId="0" applyFont="1" applyFill="1" applyBorder="1"/>
    <xf numFmtId="0" fontId="0" fillId="3" borderId="12" xfId="0" applyFont="1" applyFill="1" applyBorder="1" applyAlignment="1">
      <alignment horizontal="left"/>
    </xf>
    <xf numFmtId="0" fontId="9" fillId="14" borderId="25" xfId="0" applyFont="1" applyFill="1" applyBorder="1" applyAlignment="1">
      <alignment horizontal="right"/>
    </xf>
    <xf numFmtId="170" fontId="0" fillId="19" borderId="26" xfId="1" applyNumberFormat="1" applyFont="1" applyFill="1" applyBorder="1" applyAlignment="1" applyProtection="1">
      <alignment horizontal="center" vertical="center" wrapText="1"/>
    </xf>
    <xf numFmtId="0" fontId="0" fillId="14" borderId="27" xfId="0" applyFont="1" applyFill="1" applyBorder="1"/>
    <xf numFmtId="0" fontId="0" fillId="14" borderId="25" xfId="0" applyFont="1" applyFill="1" applyBorder="1"/>
    <xf numFmtId="0" fontId="9" fillId="14" borderId="28" xfId="0" applyFont="1" applyFill="1" applyBorder="1"/>
    <xf numFmtId="0" fontId="9" fillId="14" borderId="27" xfId="0" applyFont="1" applyFill="1" applyBorder="1"/>
    <xf numFmtId="170" fontId="0" fillId="19" borderId="1" xfId="1" applyNumberFormat="1" applyFont="1" applyFill="1" applyBorder="1" applyAlignment="1" applyProtection="1">
      <alignment horizontal="center" vertical="center" wrapText="1"/>
    </xf>
    <xf numFmtId="170" fontId="0" fillId="19" borderId="18" xfId="1" applyNumberFormat="1" applyFont="1" applyFill="1" applyBorder="1" applyAlignment="1" applyProtection="1">
      <alignment horizontal="center" vertical="center" wrapText="1"/>
    </xf>
    <xf numFmtId="0" fontId="9" fillId="14" borderId="7" xfId="0" applyFont="1" applyFill="1" applyBorder="1" applyAlignment="1">
      <alignment horizontal="right"/>
    </xf>
    <xf numFmtId="0" fontId="9" fillId="14" borderId="9" xfId="0" applyFont="1" applyFill="1" applyBorder="1"/>
    <xf numFmtId="0" fontId="9" fillId="14" borderId="8" xfId="0" applyFont="1" applyFill="1" applyBorder="1" applyAlignment="1">
      <alignment horizontal="right"/>
    </xf>
    <xf numFmtId="0" fontId="9" fillId="14" borderId="8" xfId="0" applyFont="1" applyFill="1" applyBorder="1"/>
    <xf numFmtId="0" fontId="9" fillId="3" borderId="10" xfId="0" applyFont="1" applyFill="1" applyBorder="1" applyAlignment="1">
      <alignment horizontal="right"/>
    </xf>
    <xf numFmtId="0" fontId="9" fillId="3" borderId="11" xfId="0" applyFont="1" applyFill="1" applyBorder="1" applyAlignment="1">
      <alignment horizontal="center"/>
    </xf>
    <xf numFmtId="0" fontId="9" fillId="3" borderId="12" xfId="0" applyFont="1" applyFill="1" applyBorder="1" applyAlignment="1">
      <alignment horizontal="left"/>
    </xf>
    <xf numFmtId="0" fontId="0" fillId="3" borderId="10" xfId="0" applyFont="1" applyFill="1" applyBorder="1"/>
    <xf numFmtId="0" fontId="9" fillId="14" borderId="3" xfId="0" applyFont="1" applyFill="1" applyBorder="1" applyAlignment="1">
      <alignment horizontal="right"/>
    </xf>
    <xf numFmtId="0" fontId="9" fillId="14" borderId="4" xfId="0" applyFont="1" applyFill="1" applyBorder="1" applyAlignment="1">
      <alignment horizontal="left"/>
    </xf>
    <xf numFmtId="0" fontId="9" fillId="14" borderId="14" xfId="0" applyFont="1" applyFill="1" applyBorder="1" applyAlignment="1">
      <alignment horizontal="center"/>
    </xf>
    <xf numFmtId="0" fontId="0" fillId="2" borderId="29" xfId="39" applyFont="1" applyBorder="1" applyAlignment="1" applyProtection="1">
      <alignment horizontal="right"/>
    </xf>
    <xf numFmtId="0" fontId="9" fillId="14" borderId="30" xfId="0" applyFont="1" applyFill="1" applyBorder="1" applyAlignment="1">
      <alignment horizontal="left"/>
    </xf>
    <xf numFmtId="0" fontId="9" fillId="14" borderId="5" xfId="37" applyFont="1" applyFill="1" applyBorder="1" applyAlignment="1" applyProtection="1">
      <alignment horizontal="right" vertical="center" wrapText="1"/>
    </xf>
    <xf numFmtId="164" fontId="0" fillId="2" borderId="20" xfId="1" applyFont="1" applyFill="1" applyBorder="1" applyAlignment="1" applyProtection="1"/>
    <xf numFmtId="168" fontId="0" fillId="19" borderId="31" xfId="38" applyFont="1" applyFill="1" applyBorder="1" applyAlignment="1" applyProtection="1">
      <alignment horizontal="center" vertical="center" wrapText="1"/>
    </xf>
    <xf numFmtId="174" fontId="0" fillId="14" borderId="6" xfId="2" applyNumberFormat="1" applyFont="1" applyFill="1" applyBorder="1" applyAlignment="1" applyProtection="1">
      <alignment horizontal="center"/>
    </xf>
    <xf numFmtId="9" fontId="0" fillId="19" borderId="20" xfId="3" applyFont="1" applyFill="1" applyBorder="1" applyAlignment="1" applyProtection="1">
      <alignment horizontal="center" vertical="center" wrapText="1"/>
    </xf>
    <xf numFmtId="0" fontId="9" fillId="14" borderId="19" xfId="37" applyFont="1" applyFill="1" applyBorder="1" applyAlignment="1" applyProtection="1">
      <alignment horizontal="right" vertical="center" wrapText="1"/>
    </xf>
    <xf numFmtId="168" fontId="0" fillId="2" borderId="32" xfId="38" applyFont="1" applyFill="1" applyBorder="1" applyAlignment="1" applyProtection="1"/>
    <xf numFmtId="0" fontId="0" fillId="14" borderId="5" xfId="37" applyFont="1" applyFill="1" applyBorder="1" applyAlignment="1" applyProtection="1">
      <alignment horizontal="right" vertical="center" wrapText="1"/>
    </xf>
    <xf numFmtId="0" fontId="0" fillId="14" borderId="0" xfId="37" applyFont="1" applyFill="1" applyBorder="1" applyAlignment="1" applyProtection="1">
      <alignment horizontal="right" vertical="center" wrapText="1"/>
    </xf>
    <xf numFmtId="0" fontId="0" fillId="14" borderId="6" xfId="37" applyFont="1" applyFill="1" applyBorder="1" applyAlignment="1" applyProtection="1">
      <alignment horizontal="right" vertical="center" wrapText="1"/>
    </xf>
    <xf numFmtId="0" fontId="9" fillId="14" borderId="0" xfId="0" applyFont="1" applyFill="1" applyBorder="1" applyAlignment="1">
      <alignment horizontal="right"/>
    </xf>
    <xf numFmtId="0" fontId="9" fillId="14" borderId="5" xfId="0" applyFont="1" applyFill="1" applyBorder="1"/>
    <xf numFmtId="176" fontId="0" fillId="19" borderId="29" xfId="1" applyNumberFormat="1" applyFont="1" applyFill="1" applyBorder="1" applyAlignment="1" applyProtection="1">
      <alignment horizontal="right" vertical="center" wrapText="1"/>
    </xf>
    <xf numFmtId="9" fontId="0" fillId="19" borderId="29" xfId="3" applyFont="1" applyFill="1" applyBorder="1" applyAlignment="1" applyProtection="1">
      <alignment horizontal="right" vertical="center" wrapText="1"/>
    </xf>
    <xf numFmtId="170" fontId="0" fillId="19" borderId="20" xfId="1" applyNumberFormat="1" applyFont="1" applyFill="1" applyBorder="1" applyAlignment="1" applyProtection="1">
      <alignment horizontal="center" vertical="center" wrapText="1"/>
    </xf>
    <xf numFmtId="0" fontId="9" fillId="14" borderId="6" xfId="37" applyFont="1" applyFill="1" applyBorder="1" applyAlignment="1" applyProtection="1">
      <alignment horizontal="left" vertical="center" wrapText="1"/>
    </xf>
    <xf numFmtId="166" fontId="0" fillId="19" borderId="1" xfId="2" applyFont="1" applyFill="1" applyBorder="1" applyAlignment="1" applyProtection="1">
      <alignment horizontal="right" vertical="center" wrapText="1"/>
    </xf>
    <xf numFmtId="166" fontId="0" fillId="2" borderId="1" xfId="2" applyFont="1" applyFill="1" applyBorder="1" applyAlignment="1" applyProtection="1">
      <alignment horizontal="right" vertical="center" wrapText="1"/>
    </xf>
    <xf numFmtId="0" fontId="9" fillId="14" borderId="8" xfId="0" applyFont="1" applyFill="1" applyBorder="1" applyAlignment="1">
      <alignment horizontal="center"/>
    </xf>
    <xf numFmtId="0" fontId="9" fillId="14" borderId="9" xfId="0" applyFont="1" applyFill="1" applyBorder="1" applyAlignment="1">
      <alignment horizontal="center"/>
    </xf>
    <xf numFmtId="0" fontId="0" fillId="14" borderId="7" xfId="37" applyFont="1" applyFill="1" applyBorder="1" applyAlignment="1" applyProtection="1">
      <alignment horizontal="right" vertical="center" wrapText="1"/>
    </xf>
    <xf numFmtId="0" fontId="0" fillId="14" borderId="8" xfId="37" applyFont="1" applyFill="1" applyBorder="1" applyAlignment="1" applyProtection="1">
      <alignment horizontal="right" vertical="center" wrapText="1"/>
    </xf>
    <xf numFmtId="0" fontId="0" fillId="14" borderId="9" xfId="37" applyFont="1" applyFill="1" applyBorder="1" applyAlignment="1" applyProtection="1">
      <alignment horizontal="right" vertical="center" wrapText="1"/>
    </xf>
    <xf numFmtId="0" fontId="0" fillId="22" borderId="3" xfId="39" applyFont="1" applyFill="1" applyBorder="1" applyAlignment="1" applyProtection="1">
      <alignment wrapText="1"/>
    </xf>
    <xf numFmtId="170" fontId="0" fillId="2" borderId="4" xfId="39" applyNumberFormat="1" applyFont="1" applyBorder="1" applyAlignment="1" applyProtection="1">
      <alignment wrapText="1"/>
    </xf>
    <xf numFmtId="0" fontId="0" fillId="2" borderId="6" xfId="39" applyFont="1" applyBorder="1" applyAlignment="1" applyProtection="1"/>
    <xf numFmtId="9" fontId="0" fillId="22" borderId="3" xfId="3" applyFont="1" applyFill="1" applyBorder="1" applyAlignment="1" applyProtection="1"/>
    <xf numFmtId="9" fontId="0" fillId="2" borderId="4" xfId="39" applyNumberFormat="1" applyFont="1" applyBorder="1" applyAlignment="1" applyProtection="1"/>
    <xf numFmtId="9" fontId="0" fillId="2" borderId="9" xfId="39" applyNumberFormat="1" applyFont="1" applyBorder="1" applyAlignment="1" applyProtection="1"/>
    <xf numFmtId="0" fontId="0" fillId="22" borderId="3" xfId="41" applyFont="1" applyFill="1" applyBorder="1" applyAlignment="1" applyProtection="1"/>
    <xf numFmtId="0" fontId="0" fillId="2" borderId="4" xfId="41" applyFont="1" applyFill="1" applyBorder="1" applyAlignment="1" applyProtection="1"/>
    <xf numFmtId="168" fontId="0" fillId="22" borderId="23" xfId="42" applyNumberFormat="1" applyFont="1" applyFill="1" applyBorder="1" applyAlignment="1" applyProtection="1"/>
    <xf numFmtId="168" fontId="0" fillId="2" borderId="24" xfId="42" applyNumberFormat="1" applyFont="1" applyFill="1" applyBorder="1" applyAlignment="1" applyProtection="1"/>
    <xf numFmtId="168" fontId="0" fillId="22" borderId="8" xfId="42" applyNumberFormat="1" applyFont="1" applyFill="1" applyBorder="1" applyAlignment="1" applyProtection="1"/>
    <xf numFmtId="168" fontId="0" fillId="2" borderId="9" xfId="42" applyNumberFormat="1" applyFont="1" applyFill="1" applyBorder="1" applyAlignment="1" applyProtection="1"/>
    <xf numFmtId="0" fontId="0" fillId="14" borderId="5" xfId="42" applyFont="1" applyFill="1" applyBorder="1" applyAlignment="1" applyProtection="1"/>
    <xf numFmtId="173" fontId="0" fillId="14" borderId="0" xfId="42" applyNumberFormat="1" applyFont="1" applyFill="1" applyBorder="1" applyAlignment="1" applyProtection="1"/>
    <xf numFmtId="168" fontId="0" fillId="14" borderId="0" xfId="42" applyNumberFormat="1" applyFont="1" applyFill="1" applyBorder="1" applyAlignment="1" applyProtection="1"/>
    <xf numFmtId="0" fontId="0" fillId="14" borderId="5" xfId="43" applyFont="1" applyBorder="1" applyAlignment="1" applyProtection="1"/>
    <xf numFmtId="173" fontId="0" fillId="14" borderId="0" xfId="43" applyNumberFormat="1" applyFont="1" applyBorder="1" applyAlignment="1" applyProtection="1"/>
    <xf numFmtId="168" fontId="0" fillId="14" borderId="0" xfId="43" applyNumberFormat="1" applyFont="1" applyBorder="1" applyAlignment="1" applyProtection="1"/>
    <xf numFmtId="0" fontId="0" fillId="14" borderId="5" xfId="43" applyFont="1" applyBorder="1" applyAlignment="1" applyProtection="1">
      <alignment horizontal="left"/>
    </xf>
    <xf numFmtId="0" fontId="0" fillId="14" borderId="0" xfId="43" applyFont="1" applyBorder="1" applyAlignment="1" applyProtection="1"/>
    <xf numFmtId="175" fontId="0" fillId="22" borderId="0" xfId="43" applyNumberFormat="1" applyFont="1" applyFill="1" applyBorder="1" applyAlignment="1" applyProtection="1"/>
    <xf numFmtId="166" fontId="0" fillId="14" borderId="0" xfId="43" applyNumberFormat="1" applyFont="1" applyBorder="1" applyAlignment="1" applyProtection="1"/>
    <xf numFmtId="0" fontId="0" fillId="14" borderId="0" xfId="42" applyFont="1" applyFill="1" applyBorder="1" applyAlignment="1" applyProtection="1"/>
    <xf numFmtId="175" fontId="0" fillId="14" borderId="0" xfId="42" applyNumberFormat="1" applyFont="1" applyFill="1" applyBorder="1" applyAlignment="1" applyProtection="1"/>
    <xf numFmtId="0" fontId="0" fillId="14" borderId="0" xfId="0" applyFont="1" applyFill="1"/>
    <xf numFmtId="172" fontId="0" fillId="2" borderId="0" xfId="43" applyNumberFormat="1" applyFont="1" applyFill="1" applyBorder="1" applyAlignment="1" applyProtection="1"/>
    <xf numFmtId="172" fontId="0" fillId="2" borderId="8" xfId="43" applyNumberFormat="1" applyFont="1" applyFill="1" applyBorder="1" applyAlignment="1" applyProtection="1"/>
    <xf numFmtId="172" fontId="0" fillId="14" borderId="0" xfId="43" applyNumberFormat="1" applyFont="1" applyBorder="1" applyAlignment="1" applyProtection="1"/>
    <xf numFmtId="177" fontId="0" fillId="0" borderId="0" xfId="44" applyFont="1" applyBorder="1" applyAlignment="1" applyProtection="1"/>
    <xf numFmtId="0" fontId="9" fillId="0" borderId="33" xfId="0" applyFont="1" applyBorder="1"/>
    <xf numFmtId="0" fontId="0" fillId="0" borderId="33" xfId="0" applyFont="1" applyBorder="1"/>
    <xf numFmtId="0" fontId="10" fillId="0" borderId="33" xfId="37" applyFill="1" applyBorder="1" applyAlignment="1" applyProtection="1"/>
    <xf numFmtId="169" fontId="15" fillId="23" borderId="33" xfId="0" applyNumberFormat="1" applyFont="1" applyFill="1" applyBorder="1" applyAlignment="1">
      <alignment horizontal="left"/>
    </xf>
    <xf numFmtId="177" fontId="0" fillId="0" borderId="33" xfId="44" applyFont="1" applyBorder="1" applyAlignment="1" applyProtection="1">
      <alignment wrapText="1"/>
    </xf>
    <xf numFmtId="0" fontId="16" fillId="0" borderId="33" xfId="0" applyFont="1" applyBorder="1" applyAlignment="1">
      <alignment horizontal="center"/>
    </xf>
    <xf numFmtId="0" fontId="0" fillId="0" borderId="33" xfId="0" applyFont="1" applyBorder="1" applyAlignment="1">
      <alignment wrapText="1"/>
    </xf>
    <xf numFmtId="0" fontId="10" fillId="11" borderId="33" xfId="37" applyBorder="1" applyAlignment="1" applyProtection="1">
      <alignment horizontal="center" vertical="center" wrapText="1"/>
    </xf>
    <xf numFmtId="0" fontId="0" fillId="0" borderId="0" xfId="0" applyAlignment="1">
      <alignment wrapText="1"/>
    </xf>
    <xf numFmtId="0" fontId="15" fillId="2" borderId="33" xfId="0" applyFont="1" applyFill="1" applyBorder="1" applyAlignment="1">
      <alignment horizontal="left"/>
    </xf>
    <xf numFmtId="177" fontId="0" fillId="0" borderId="33" xfId="44" applyFont="1" applyBorder="1" applyAlignment="1" applyProtection="1"/>
    <xf numFmtId="168" fontId="0" fillId="0" borderId="33" xfId="0" applyNumberFormat="1" applyBorder="1" applyAlignment="1">
      <alignment horizontal="right" wrapText="1"/>
    </xf>
    <xf numFmtId="9" fontId="0" fillId="0" borderId="0" xfId="0" applyNumberFormat="1" applyAlignment="1">
      <alignment wrapText="1"/>
    </xf>
    <xf numFmtId="1" fontId="10" fillId="11" borderId="33" xfId="37" applyNumberFormat="1" applyBorder="1" applyAlignment="1" applyProtection="1"/>
    <xf numFmtId="0" fontId="15" fillId="23" borderId="33" xfId="0" applyFont="1" applyFill="1" applyBorder="1" applyAlignment="1">
      <alignment horizontal="left"/>
    </xf>
    <xf numFmtId="174" fontId="0" fillId="0" borderId="33" xfId="2" applyNumberFormat="1" applyFont="1" applyBorder="1" applyAlignment="1" applyProtection="1">
      <alignment horizontal="right"/>
    </xf>
    <xf numFmtId="178" fontId="0" fillId="0" borderId="33" xfId="0" applyNumberFormat="1" applyBorder="1"/>
    <xf numFmtId="164" fontId="0" fillId="0" borderId="33" xfId="1" applyFont="1" applyBorder="1" applyAlignment="1" applyProtection="1">
      <alignment wrapText="1"/>
    </xf>
    <xf numFmtId="164" fontId="0" fillId="0" borderId="33" xfId="1" applyFont="1" applyBorder="1" applyAlignment="1" applyProtection="1"/>
    <xf numFmtId="0" fontId="0" fillId="0" borderId="33" xfId="0" applyBorder="1" applyAlignment="1">
      <alignment horizontal="right"/>
    </xf>
    <xf numFmtId="1" fontId="0" fillId="0" borderId="33" xfId="0" applyNumberFormat="1" applyBorder="1"/>
    <xf numFmtId="179" fontId="15" fillId="0" borderId="0" xfId="2" applyNumberFormat="1" applyFont="1" applyBorder="1" applyAlignment="1" applyProtection="1">
      <alignment horizontal="left"/>
    </xf>
    <xf numFmtId="177" fontId="0" fillId="0" borderId="0" xfId="44" applyFont="1" applyBorder="1" applyAlignment="1" applyProtection="1">
      <alignment wrapText="1"/>
    </xf>
    <xf numFmtId="174" fontId="0" fillId="0" borderId="0" xfId="2" applyNumberFormat="1" applyFont="1" applyBorder="1" applyAlignment="1" applyProtection="1">
      <alignment horizontal="right"/>
    </xf>
    <xf numFmtId="9" fontId="0" fillId="0" borderId="33" xfId="0" applyNumberFormat="1" applyBorder="1"/>
    <xf numFmtId="9" fontId="0" fillId="0" borderId="0" xfId="3" applyFont="1" applyBorder="1" applyAlignment="1" applyProtection="1"/>
    <xf numFmtId="170" fontId="0" fillId="0" borderId="33" xfId="1" applyNumberFormat="1" applyFont="1" applyBorder="1" applyAlignment="1" applyProtection="1"/>
    <xf numFmtId="177" fontId="1" fillId="24" borderId="33" xfId="44" applyFont="1" applyFill="1" applyBorder="1" applyAlignment="1" applyProtection="1"/>
    <xf numFmtId="169" fontId="15" fillId="2" borderId="33" xfId="0" applyNumberFormat="1" applyFont="1" applyFill="1" applyBorder="1" applyAlignment="1">
      <alignment horizontal="left"/>
    </xf>
    <xf numFmtId="174" fontId="0" fillId="0" borderId="33" xfId="0" applyNumberFormat="1" applyBorder="1" applyAlignment="1">
      <alignment horizontal="right"/>
    </xf>
    <xf numFmtId="178" fontId="0" fillId="0" borderId="34" xfId="0" applyNumberFormat="1" applyBorder="1"/>
    <xf numFmtId="1" fontId="0" fillId="0" borderId="0" xfId="0" applyNumberFormat="1"/>
    <xf numFmtId="2" fontId="0" fillId="0" borderId="33" xfId="44" applyNumberFormat="1" applyFont="1" applyBorder="1" applyAlignment="1" applyProtection="1"/>
    <xf numFmtId="0" fontId="0" fillId="13" borderId="33" xfId="41" applyFont="1" applyBorder="1" applyAlignment="1" applyProtection="1"/>
    <xf numFmtId="1" fontId="22" fillId="13" borderId="33" xfId="41" applyNumberFormat="1" applyBorder="1" applyAlignment="1" applyProtection="1"/>
    <xf numFmtId="0" fontId="22" fillId="0" borderId="0" xfId="41" applyFill="1" applyBorder="1" applyAlignment="1" applyProtection="1"/>
    <xf numFmtId="1" fontId="22" fillId="0" borderId="0" xfId="41" applyNumberFormat="1" applyFill="1" applyBorder="1" applyAlignment="1" applyProtection="1"/>
    <xf numFmtId="0" fontId="0" fillId="0" borderId="33" xfId="0" applyBorder="1"/>
    <xf numFmtId="1" fontId="17" fillId="0" borderId="35" xfId="45" applyNumberFormat="1" applyFont="1" applyFill="1" applyBorder="1" applyAlignment="1" applyProtection="1"/>
    <xf numFmtId="2" fontId="0" fillId="0" borderId="33" xfId="0" applyNumberFormat="1" applyBorder="1"/>
    <xf numFmtId="1" fontId="17" fillId="0" borderId="34" xfId="45" applyNumberFormat="1" applyFont="1" applyFill="1" applyBorder="1" applyAlignment="1" applyProtection="1"/>
    <xf numFmtId="0" fontId="0" fillId="0" borderId="34" xfId="0" applyBorder="1"/>
    <xf numFmtId="0" fontId="0" fillId="0" borderId="36" xfId="0" applyBorder="1"/>
    <xf numFmtId="1" fontId="17" fillId="0" borderId="33" xfId="45" applyNumberFormat="1" applyFont="1" applyFill="1" applyBorder="1" applyAlignment="1" applyProtection="1"/>
    <xf numFmtId="178" fontId="10" fillId="11" borderId="33" xfId="37" applyNumberFormat="1" applyBorder="1" applyAlignment="1" applyProtection="1"/>
    <xf numFmtId="0" fontId="18" fillId="16" borderId="33" xfId="46" applyBorder="1" applyAlignment="1" applyProtection="1"/>
    <xf numFmtId="0" fontId="10" fillId="11" borderId="33" xfId="37" applyBorder="1" applyAlignment="1" applyProtection="1"/>
    <xf numFmtId="166" fontId="0" fillId="0" borderId="33" xfId="2" applyFont="1" applyBorder="1" applyAlignment="1" applyProtection="1"/>
    <xf numFmtId="180" fontId="0" fillId="0" borderId="33" xfId="1" applyNumberFormat="1" applyFont="1" applyBorder="1" applyAlignment="1" applyProtection="1"/>
    <xf numFmtId="0" fontId="0" fillId="0" borderId="34" xfId="0" applyFont="1" applyBorder="1"/>
    <xf numFmtId="0" fontId="9" fillId="0" borderId="33" xfId="0" applyFont="1" applyBorder="1" applyAlignment="1">
      <alignment horizontal="left"/>
    </xf>
    <xf numFmtId="3" fontId="0" fillId="0" borderId="33" xfId="2" applyNumberFormat="1" applyFont="1" applyBorder="1" applyAlignment="1" applyProtection="1"/>
    <xf numFmtId="0" fontId="0" fillId="0" borderId="37" xfId="0" applyFont="1" applyBorder="1"/>
    <xf numFmtId="0" fontId="15" fillId="23" borderId="0" xfId="0" applyFont="1" applyFill="1" applyAlignment="1">
      <alignment horizontal="left"/>
    </xf>
    <xf numFmtId="174" fontId="0" fillId="0" borderId="33" xfId="2" applyNumberFormat="1" applyFont="1" applyBorder="1" applyAlignment="1" applyProtection="1"/>
    <xf numFmtId="0" fontId="0" fillId="25" borderId="33" xfId="0" applyFill="1" applyBorder="1"/>
    <xf numFmtId="178" fontId="0" fillId="25" borderId="33" xfId="0" applyNumberFormat="1" applyFill="1" applyBorder="1"/>
    <xf numFmtId="166" fontId="0" fillId="0" borderId="0" xfId="0" applyNumberFormat="1"/>
    <xf numFmtId="0" fontId="10" fillId="25" borderId="33" xfId="37" applyFill="1" applyBorder="1" applyAlignment="1" applyProtection="1"/>
    <xf numFmtId="174" fontId="0" fillId="0" borderId="34" xfId="0" applyNumberFormat="1" applyBorder="1" applyAlignment="1">
      <alignment horizontal="left"/>
    </xf>
    <xf numFmtId="174" fontId="0" fillId="0" borderId="33" xfId="0" applyNumberFormat="1" applyBorder="1" applyAlignment="1">
      <alignment horizontal="left"/>
    </xf>
    <xf numFmtId="0" fontId="22" fillId="2" borderId="38" xfId="39" applyBorder="1" applyAlignment="1" applyProtection="1"/>
    <xf numFmtId="0" fontId="22" fillId="2" borderId="28" xfId="39" applyBorder="1" applyAlignment="1" applyProtection="1">
      <alignment wrapText="1"/>
    </xf>
    <xf numFmtId="0" fontId="0" fillId="2" borderId="28" xfId="39" applyFont="1" applyBorder="1" applyAlignment="1" applyProtection="1">
      <alignment wrapText="1"/>
    </xf>
    <xf numFmtId="0" fontId="22" fillId="2" borderId="39" xfId="39" applyBorder="1" applyAlignment="1" applyProtection="1">
      <alignment wrapText="1"/>
    </xf>
    <xf numFmtId="0" fontId="22" fillId="2" borderId="40" xfId="39" applyBorder="1" applyAlignment="1" applyProtection="1"/>
    <xf numFmtId="0" fontId="22" fillId="2" borderId="23" xfId="39" applyBorder="1" applyAlignment="1" applyProtection="1">
      <alignment wrapText="1"/>
    </xf>
    <xf numFmtId="0" fontId="22" fillId="2" borderId="41" xfId="39" applyBorder="1" applyAlignment="1" applyProtection="1">
      <alignment wrapText="1"/>
    </xf>
    <xf numFmtId="0" fontId="22" fillId="2" borderId="36" xfId="39" applyBorder="1" applyAlignment="1" applyProtection="1"/>
    <xf numFmtId="0" fontId="22" fillId="2" borderId="0" xfId="39" applyBorder="1" applyAlignment="1" applyProtection="1">
      <alignment wrapText="1"/>
    </xf>
    <xf numFmtId="0" fontId="22" fillId="2" borderId="37" xfId="39" applyBorder="1" applyAlignment="1" applyProtection="1">
      <alignment wrapText="1"/>
    </xf>
    <xf numFmtId="0" fontId="0" fillId="17" borderId="2" xfId="47" applyFont="1" applyBorder="1" applyAlignment="1" applyProtection="1"/>
    <xf numFmtId="0" fontId="22" fillId="17" borderId="3" xfId="47" applyBorder="1" applyAlignment="1" applyProtection="1">
      <alignment wrapText="1"/>
    </xf>
    <xf numFmtId="170" fontId="22" fillId="17" borderId="4" xfId="47" applyNumberFormat="1" applyBorder="1" applyAlignment="1" applyProtection="1"/>
    <xf numFmtId="0" fontId="0" fillId="17" borderId="5" xfId="47" applyFont="1" applyBorder="1" applyAlignment="1" applyProtection="1"/>
    <xf numFmtId="0" fontId="22" fillId="17" borderId="0" xfId="47" applyBorder="1" applyAlignment="1" applyProtection="1">
      <alignment wrapText="1"/>
    </xf>
    <xf numFmtId="177" fontId="22" fillId="17" borderId="0" xfId="47" applyNumberFormat="1" applyBorder="1" applyAlignment="1" applyProtection="1">
      <alignment wrapText="1"/>
    </xf>
    <xf numFmtId="177" fontId="22" fillId="17" borderId="6" xfId="47" applyNumberFormat="1" applyBorder="1" applyAlignment="1" applyProtection="1">
      <alignment wrapText="1"/>
    </xf>
    <xf numFmtId="0" fontId="0" fillId="17" borderId="7" xfId="47" applyFont="1" applyBorder="1" applyAlignment="1" applyProtection="1"/>
    <xf numFmtId="0" fontId="22" fillId="17" borderId="8" xfId="47" applyBorder="1" applyAlignment="1" applyProtection="1">
      <alignment wrapText="1"/>
    </xf>
    <xf numFmtId="177" fontId="22" fillId="17" borderId="8" xfId="47" applyNumberFormat="1" applyBorder="1" applyAlignment="1" applyProtection="1">
      <alignment wrapText="1"/>
    </xf>
    <xf numFmtId="177" fontId="22" fillId="17" borderId="9" xfId="47" applyNumberFormat="1" applyBorder="1" applyAlignment="1" applyProtection="1">
      <alignment wrapText="1"/>
    </xf>
    <xf numFmtId="0" fontId="0" fillId="14" borderId="2" xfId="43" applyFont="1" applyBorder="1" applyAlignment="1" applyProtection="1"/>
    <xf numFmtId="177" fontId="0" fillId="14" borderId="3" xfId="44" applyFont="1" applyFill="1" applyBorder="1" applyAlignment="1" applyProtection="1">
      <alignment wrapText="1"/>
    </xf>
    <xf numFmtId="177" fontId="22" fillId="14" borderId="4" xfId="43" applyNumberFormat="1" applyBorder="1" applyAlignment="1" applyProtection="1">
      <alignment wrapText="1"/>
    </xf>
    <xf numFmtId="177" fontId="0" fillId="14" borderId="0" xfId="44" applyFont="1" applyFill="1" applyBorder="1" applyAlignment="1" applyProtection="1">
      <alignment wrapText="1"/>
    </xf>
    <xf numFmtId="177" fontId="22" fillId="14" borderId="6" xfId="43" applyNumberFormat="1" applyBorder="1" applyAlignment="1" applyProtection="1">
      <alignment wrapText="1"/>
    </xf>
    <xf numFmtId="0" fontId="0" fillId="14" borderId="7" xfId="43" applyFont="1" applyBorder="1" applyAlignment="1" applyProtection="1"/>
    <xf numFmtId="177" fontId="0" fillId="14" borderId="8" xfId="44" applyFont="1" applyFill="1" applyBorder="1" applyAlignment="1" applyProtection="1">
      <alignment wrapText="1"/>
    </xf>
    <xf numFmtId="177" fontId="22" fillId="14" borderId="9" xfId="43" applyNumberFormat="1" applyBorder="1" applyAlignment="1" applyProtection="1">
      <alignment wrapText="1"/>
    </xf>
    <xf numFmtId="0" fontId="0" fillId="18" borderId="2" xfId="48" applyFont="1" applyBorder="1" applyAlignment="1" applyProtection="1"/>
    <xf numFmtId="180" fontId="22" fillId="18" borderId="3" xfId="48" applyNumberFormat="1" applyBorder="1" applyAlignment="1" applyProtection="1">
      <alignment wrapText="1"/>
    </xf>
    <xf numFmtId="180" fontId="22" fillId="18" borderId="4" xfId="48" applyNumberFormat="1" applyBorder="1" applyAlignment="1" applyProtection="1">
      <alignment wrapText="1"/>
    </xf>
    <xf numFmtId="0" fontId="0" fillId="18" borderId="7" xfId="48" applyFont="1" applyBorder="1" applyAlignment="1" applyProtection="1"/>
    <xf numFmtId="177" fontId="22" fillId="18" borderId="8" xfId="48" applyNumberFormat="1" applyBorder="1" applyAlignment="1" applyProtection="1">
      <alignment wrapText="1"/>
    </xf>
    <xf numFmtId="177" fontId="22" fillId="18" borderId="9" xfId="48" applyNumberFormat="1" applyBorder="1" applyAlignment="1" applyProtection="1">
      <alignment wrapText="1"/>
    </xf>
    <xf numFmtId="0" fontId="9" fillId="19" borderId="2" xfId="49" applyFont="1" applyBorder="1" applyAlignment="1" applyProtection="1"/>
    <xf numFmtId="0" fontId="22" fillId="19" borderId="3" xfId="49" applyBorder="1" applyAlignment="1" applyProtection="1">
      <alignment wrapText="1"/>
    </xf>
    <xf numFmtId="0" fontId="22" fillId="19" borderId="4" xfId="49" applyBorder="1" applyAlignment="1" applyProtection="1">
      <alignment wrapText="1"/>
    </xf>
    <xf numFmtId="0" fontId="0" fillId="19" borderId="5" xfId="49" applyFont="1" applyBorder="1" applyAlignment="1" applyProtection="1"/>
    <xf numFmtId="181" fontId="22" fillId="19" borderId="0" xfId="49" applyNumberFormat="1" applyBorder="1" applyAlignment="1" applyProtection="1">
      <alignment wrapText="1"/>
    </xf>
    <xf numFmtId="181" fontId="22" fillId="19" borderId="6" xfId="49" applyNumberFormat="1" applyBorder="1" applyAlignment="1" applyProtection="1">
      <alignment wrapText="1"/>
    </xf>
    <xf numFmtId="0" fontId="0" fillId="19" borderId="7" xfId="49" applyFont="1" applyBorder="1" applyAlignment="1" applyProtection="1"/>
    <xf numFmtId="181" fontId="22" fillId="19" borderId="8" xfId="49" applyNumberFormat="1" applyBorder="1" applyAlignment="1" applyProtection="1">
      <alignment wrapText="1"/>
    </xf>
    <xf numFmtId="181" fontId="22" fillId="19" borderId="9" xfId="49" applyNumberFormat="1" applyBorder="1" applyAlignment="1" applyProtection="1">
      <alignment wrapText="1"/>
    </xf>
    <xf numFmtId="181" fontId="0" fillId="0" borderId="0" xfId="0" applyNumberFormat="1" applyAlignment="1">
      <alignment wrapText="1"/>
    </xf>
    <xf numFmtId="0" fontId="19" fillId="20" borderId="2" xfId="50" applyFont="1" applyBorder="1" applyAlignment="1" applyProtection="1"/>
    <xf numFmtId="181" fontId="19" fillId="20" borderId="3" xfId="50" applyNumberFormat="1" applyFont="1" applyBorder="1" applyAlignment="1" applyProtection="1">
      <alignment wrapText="1"/>
    </xf>
    <xf numFmtId="181" fontId="19" fillId="20" borderId="4" xfId="50" applyNumberFormat="1" applyFont="1" applyBorder="1" applyAlignment="1" applyProtection="1">
      <alignment wrapText="1"/>
    </xf>
    <xf numFmtId="0" fontId="17" fillId="20" borderId="5" xfId="50" applyFont="1" applyBorder="1" applyAlignment="1" applyProtection="1"/>
    <xf numFmtId="181" fontId="17" fillId="20" borderId="0" xfId="50" applyNumberFormat="1" applyFont="1" applyBorder="1" applyAlignment="1" applyProtection="1">
      <alignment wrapText="1"/>
    </xf>
    <xf numFmtId="181" fontId="17" fillId="20" borderId="6" xfId="50" applyNumberFormat="1" applyFont="1" applyBorder="1" applyAlignment="1" applyProtection="1">
      <alignment wrapText="1"/>
    </xf>
    <xf numFmtId="0" fontId="17" fillId="20" borderId="7" xfId="50" applyFont="1" applyBorder="1" applyAlignment="1" applyProtection="1"/>
    <xf numFmtId="181" fontId="17" fillId="20" borderId="8" xfId="50" applyNumberFormat="1" applyFont="1" applyBorder="1" applyAlignment="1" applyProtection="1">
      <alignment wrapText="1"/>
    </xf>
    <xf numFmtId="181" fontId="17" fillId="20" borderId="9" xfId="50" applyNumberFormat="1" applyFont="1" applyBorder="1" applyAlignment="1" applyProtection="1">
      <alignment wrapText="1"/>
    </xf>
    <xf numFmtId="0" fontId="0" fillId="0" borderId="33" xfId="0" applyBorder="1" applyAlignment="1">
      <alignment horizontal="center"/>
    </xf>
    <xf numFmtId="0" fontId="20" fillId="0" borderId="0" xfId="0" applyFont="1" applyAlignment="1">
      <alignment horizontal="left"/>
    </xf>
    <xf numFmtId="168" fontId="0" fillId="0" borderId="33" xfId="38" applyFont="1" applyBorder="1" applyAlignment="1" applyProtection="1">
      <alignment horizontal="right"/>
    </xf>
    <xf numFmtId="169" fontId="15" fillId="0" borderId="0" xfId="0" applyNumberFormat="1" applyFont="1" applyBorder="1" applyAlignment="1">
      <alignment horizontal="left"/>
    </xf>
    <xf numFmtId="170" fontId="0" fillId="0" borderId="0" xfId="1" applyNumberFormat="1" applyFont="1" applyBorder="1" applyAlignment="1" applyProtection="1"/>
    <xf numFmtId="0" fontId="0" fillId="0" borderId="0" xfId="0" applyBorder="1" applyAlignment="1">
      <alignment horizontal="right"/>
    </xf>
    <xf numFmtId="182" fontId="1" fillId="24" borderId="33" xfId="44" applyNumberFormat="1" applyFont="1" applyFill="1" applyBorder="1" applyAlignment="1" applyProtection="1">
      <alignment horizontal="left"/>
    </xf>
    <xf numFmtId="0" fontId="0" fillId="0" borderId="33" xfId="44" applyNumberFormat="1" applyFont="1" applyBorder="1" applyAlignment="1" applyProtection="1"/>
    <xf numFmtId="0" fontId="20" fillId="0" borderId="0" xfId="0" applyFont="1"/>
    <xf numFmtId="1" fontId="0" fillId="0" borderId="34" xfId="0" applyNumberFormat="1" applyBorder="1"/>
    <xf numFmtId="0" fontId="0" fillId="2" borderId="10" xfId="39" applyFont="1" applyBorder="1" applyAlignment="1" applyProtection="1">
      <alignment wrapText="1"/>
    </xf>
    <xf numFmtId="0" fontId="0" fillId="2" borderId="11" xfId="39" applyFont="1" applyBorder="1" applyAlignment="1" applyProtection="1">
      <alignment wrapText="1"/>
    </xf>
    <xf numFmtId="166" fontId="0" fillId="2" borderId="42" xfId="39" applyNumberFormat="1" applyFont="1" applyBorder="1" applyAlignment="1" applyProtection="1">
      <alignment wrapText="1"/>
    </xf>
    <xf numFmtId="0" fontId="17" fillId="0" borderId="0" xfId="0" applyFont="1" applyBorder="1" applyAlignment="1">
      <alignment wrapText="1"/>
    </xf>
    <xf numFmtId="0" fontId="0" fillId="0" borderId="0" xfId="0" applyBorder="1"/>
    <xf numFmtId="0" fontId="0" fillId="0" borderId="37" xfId="0" applyBorder="1"/>
    <xf numFmtId="0" fontId="17" fillId="0" borderId="5" xfId="0" applyFont="1" applyBorder="1"/>
    <xf numFmtId="0" fontId="17" fillId="0" borderId="0" xfId="0" applyFont="1" applyBorder="1"/>
    <xf numFmtId="0" fontId="17" fillId="0" borderId="0" xfId="29" applyFont="1" applyBorder="1"/>
    <xf numFmtId="174" fontId="17" fillId="0" borderId="37" xfId="18" applyNumberFormat="1" applyFont="1" applyBorder="1" applyAlignment="1" applyProtection="1"/>
    <xf numFmtId="174" fontId="17" fillId="0" borderId="0" xfId="2" applyNumberFormat="1" applyFont="1" applyBorder="1" applyAlignment="1" applyProtection="1"/>
    <xf numFmtId="0" fontId="22" fillId="0" borderId="0" xfId="29" applyBorder="1"/>
    <xf numFmtId="183" fontId="5" fillId="0" borderId="0" xfId="27" applyNumberFormat="1" applyBorder="1"/>
    <xf numFmtId="174" fontId="0" fillId="0" borderId="0" xfId="0" applyNumberFormat="1"/>
    <xf numFmtId="0" fontId="17" fillId="0" borderId="43" xfId="0" applyFont="1" applyBorder="1"/>
    <xf numFmtId="0" fontId="17" fillId="0" borderId="23" xfId="0" applyFont="1" applyBorder="1"/>
    <xf numFmtId="0" fontId="17" fillId="0" borderId="23" xfId="29" applyFont="1" applyBorder="1"/>
    <xf numFmtId="174" fontId="17" fillId="0" borderId="41" xfId="18" applyNumberFormat="1" applyFont="1" applyBorder="1" applyAlignment="1" applyProtection="1"/>
    <xf numFmtId="0" fontId="6" fillId="0" borderId="0" xfId="27" applyFont="1" applyBorder="1"/>
    <xf numFmtId="174" fontId="6" fillId="0" borderId="0" xfId="19" applyNumberFormat="1" applyFont="1" applyBorder="1" applyAlignment="1" applyProtection="1"/>
    <xf numFmtId="166" fontId="6" fillId="0" borderId="0" xfId="19" applyFont="1" applyBorder="1" applyAlignment="1" applyProtection="1"/>
    <xf numFmtId="174" fontId="21" fillId="0" borderId="0" xfId="19" applyNumberFormat="1" applyFont="1" applyBorder="1" applyAlignment="1" applyProtection="1"/>
    <xf numFmtId="0" fontId="0" fillId="0" borderId="0" xfId="0" applyBorder="1" applyAlignment="1">
      <alignment wrapText="1"/>
    </xf>
    <xf numFmtId="49" fontId="17" fillId="2" borderId="10" xfId="0" applyNumberFormat="1" applyFont="1" applyFill="1" applyBorder="1" applyAlignment="1">
      <alignment wrapText="1"/>
    </xf>
    <xf numFmtId="49" fontId="17" fillId="2" borderId="11" xfId="0" applyNumberFormat="1" applyFont="1" applyFill="1" applyBorder="1" applyAlignment="1">
      <alignment horizontal="right" wrapText="1"/>
    </xf>
    <xf numFmtId="49" fontId="17" fillId="2" borderId="11" xfId="0" applyNumberFormat="1" applyFont="1" applyFill="1" applyBorder="1" applyAlignment="1">
      <alignment wrapText="1"/>
    </xf>
    <xf numFmtId="49" fontId="17" fillId="2" borderId="11" xfId="19" applyNumberFormat="1" applyFont="1" applyFill="1" applyBorder="1" applyAlignment="1" applyProtection="1">
      <alignment wrapText="1"/>
    </xf>
    <xf numFmtId="49" fontId="17" fillId="2" borderId="11" xfId="51" applyNumberFormat="1" applyFont="1" applyFill="1" applyBorder="1" applyAlignment="1" applyProtection="1">
      <alignment wrapText="1"/>
    </xf>
    <xf numFmtId="0" fontId="0" fillId="2" borderId="11" xfId="0" applyFont="1" applyFill="1" applyBorder="1" applyAlignment="1">
      <alignment wrapText="1"/>
    </xf>
    <xf numFmtId="49" fontId="17" fillId="2" borderId="11" xfId="2" applyNumberFormat="1" applyFont="1" applyFill="1" applyBorder="1" applyAlignment="1" applyProtection="1">
      <alignment wrapText="1"/>
    </xf>
    <xf numFmtId="49" fontId="17" fillId="2" borderId="3" xfId="2" applyNumberFormat="1" applyFont="1" applyFill="1" applyBorder="1" applyAlignment="1" applyProtection="1">
      <alignment wrapText="1"/>
    </xf>
    <xf numFmtId="49" fontId="17" fillId="2" borderId="3" xfId="0" applyNumberFormat="1" applyFont="1" applyFill="1" applyBorder="1" applyAlignment="1">
      <alignment wrapText="1"/>
    </xf>
    <xf numFmtId="49" fontId="0" fillId="0" borderId="0" xfId="0" applyNumberFormat="1" applyAlignment="1">
      <alignment wrapText="1"/>
    </xf>
    <xf numFmtId="9" fontId="17" fillId="0" borderId="0" xfId="34" applyFont="1" applyBorder="1" applyAlignment="1" applyProtection="1"/>
    <xf numFmtId="1" fontId="17" fillId="0" borderId="0" xfId="34" applyNumberFormat="1" applyFont="1" applyBorder="1" applyAlignment="1" applyProtection="1"/>
    <xf numFmtId="174" fontId="17" fillId="0" borderId="0" xfId="16" applyNumberFormat="1" applyFont="1" applyBorder="1" applyAlignment="1" applyProtection="1"/>
    <xf numFmtId="183" fontId="17" fillId="0" borderId="0" xfId="26" applyNumberFormat="1" applyFont="1" applyFill="1" applyBorder="1" applyAlignment="1" applyProtection="1"/>
    <xf numFmtId="183" fontId="17" fillId="0" borderId="0" xfId="6" applyNumberFormat="1" applyFont="1" applyFill="1" applyBorder="1" applyAlignment="1" applyProtection="1"/>
    <xf numFmtId="183" fontId="0" fillId="0" borderId="0" xfId="0" applyNumberFormat="1" applyBorder="1"/>
    <xf numFmtId="183" fontId="0" fillId="0" borderId="8" xfId="0" applyNumberFormat="1" applyBorder="1"/>
    <xf numFmtId="173" fontId="17" fillId="0" borderId="0" xfId="16" applyNumberFormat="1" applyFont="1" applyBorder="1" applyAlignment="1" applyProtection="1"/>
    <xf numFmtId="184" fontId="17" fillId="0" borderId="0" xfId="10" applyNumberFormat="1" applyFont="1" applyFill="1" applyBorder="1" applyAlignment="1" applyProtection="1"/>
    <xf numFmtId="166" fontId="17" fillId="0" borderId="0" xfId="2" applyFont="1" applyBorder="1" applyAlignment="1" applyProtection="1"/>
    <xf numFmtId="174" fontId="17" fillId="0" borderId="0" xfId="10" applyNumberFormat="1" applyFont="1" applyFill="1" applyBorder="1" applyAlignment="1" applyProtection="1"/>
    <xf numFmtId="184" fontId="17" fillId="0" borderId="0" xfId="16" applyNumberFormat="1" applyFont="1" applyBorder="1" applyAlignment="1" applyProtection="1"/>
    <xf numFmtId="183" fontId="17" fillId="0" borderId="0" xfId="51" applyNumberFormat="1" applyFont="1" applyFill="1" applyBorder="1" applyAlignment="1" applyProtection="1"/>
    <xf numFmtId="173" fontId="17" fillId="0" borderId="0" xfId="2" applyNumberFormat="1" applyFont="1" applyBorder="1" applyAlignment="1" applyProtection="1"/>
    <xf numFmtId="184" fontId="17" fillId="0" borderId="0" xfId="2" applyNumberFormat="1" applyFont="1" applyBorder="1" applyAlignment="1" applyProtection="1"/>
    <xf numFmtId="166" fontId="17" fillId="0" borderId="0" xfId="0" applyNumberFormat="1" applyFont="1" applyBorder="1"/>
    <xf numFmtId="0" fontId="17" fillId="0" borderId="7" xfId="0" applyFont="1" applyBorder="1"/>
    <xf numFmtId="0" fontId="17" fillId="0" borderId="8" xfId="0" applyFont="1" applyBorder="1"/>
    <xf numFmtId="9" fontId="17" fillId="0" borderId="8" xfId="34" applyFont="1" applyBorder="1" applyAlignment="1" applyProtection="1"/>
    <xf numFmtId="1" fontId="17" fillId="0" borderId="8" xfId="34" applyNumberFormat="1" applyFont="1" applyBorder="1" applyAlignment="1" applyProtection="1"/>
    <xf numFmtId="174" fontId="17" fillId="0" borderId="8" xfId="16" applyNumberFormat="1" applyFont="1" applyBorder="1" applyAlignment="1" applyProtection="1"/>
    <xf numFmtId="174" fontId="17" fillId="0" borderId="8" xfId="2" applyNumberFormat="1" applyFont="1" applyBorder="1" applyAlignment="1" applyProtection="1"/>
    <xf numFmtId="183" fontId="17" fillId="0" borderId="8" xfId="26" applyNumberFormat="1" applyFont="1" applyFill="1" applyBorder="1" applyAlignment="1" applyProtection="1"/>
    <xf numFmtId="183" fontId="17" fillId="0" borderId="8" xfId="51" applyNumberFormat="1" applyFont="1" applyFill="1" applyBorder="1" applyAlignment="1" applyProtection="1"/>
    <xf numFmtId="173" fontId="17" fillId="0" borderId="8" xfId="2" applyNumberFormat="1" applyFont="1" applyBorder="1" applyAlignment="1" applyProtection="1"/>
    <xf numFmtId="184" fontId="17" fillId="0" borderId="8" xfId="2" applyNumberFormat="1" applyFont="1" applyBorder="1" applyAlignment="1" applyProtection="1"/>
    <xf numFmtId="166" fontId="17" fillId="0" borderId="8" xfId="2" applyFont="1" applyBorder="1" applyAlignment="1" applyProtection="1"/>
    <xf numFmtId="174" fontId="17" fillId="0" borderId="9" xfId="16" applyNumberFormat="1" applyFont="1" applyBorder="1" applyAlignment="1" applyProtection="1"/>
    <xf numFmtId="183" fontId="17" fillId="0" borderId="0" xfId="52" applyNumberFormat="1" applyFont="1" applyFill="1" applyBorder="1" applyAlignment="1" applyProtection="1"/>
    <xf numFmtId="0" fontId="19" fillId="0" borderId="0" xfId="0" applyFont="1" applyBorder="1"/>
    <xf numFmtId="0" fontId="0" fillId="0" borderId="8" xfId="0" applyBorder="1"/>
    <xf numFmtId="183" fontId="17" fillId="0" borderId="8" xfId="52" applyNumberFormat="1" applyFont="1" applyFill="1" applyBorder="1" applyAlignment="1" applyProtection="1"/>
    <xf numFmtId="185" fontId="0" fillId="0" borderId="0" xfId="0" applyNumberFormat="1"/>
    <xf numFmtId="0" fontId="0" fillId="2" borderId="2" xfId="0" applyFont="1" applyFill="1" applyBorder="1"/>
    <xf numFmtId="0" fontId="0" fillId="2" borderId="3" xfId="0" applyFill="1" applyBorder="1"/>
    <xf numFmtId="0" fontId="0" fillId="2" borderId="8" xfId="0" applyFont="1" applyFill="1" applyBorder="1" applyAlignment="1">
      <alignment horizontal="center"/>
    </xf>
    <xf numFmtId="0" fontId="0" fillId="2" borderId="4" xfId="0" applyFill="1" applyBorder="1"/>
    <xf numFmtId="0" fontId="16" fillId="2" borderId="44" xfId="0" applyFont="1" applyFill="1" applyBorder="1" applyAlignment="1">
      <alignment horizontal="center"/>
    </xf>
    <xf numFmtId="0" fontId="0" fillId="0" borderId="2" xfId="0" applyFont="1" applyBorder="1"/>
    <xf numFmtId="0" fontId="17" fillId="0" borderId="3" xfId="0" applyFont="1" applyBorder="1"/>
    <xf numFmtId="0" fontId="19" fillId="0" borderId="45" xfId="0" applyFont="1" applyBorder="1"/>
    <xf numFmtId="0" fontId="0" fillId="0" borderId="5" xfId="0" applyFont="1" applyBorder="1"/>
    <xf numFmtId="0" fontId="17" fillId="0" borderId="6" xfId="0" applyFont="1" applyBorder="1"/>
    <xf numFmtId="0" fontId="0" fillId="0" borderId="7" xfId="0" applyFont="1" applyBorder="1"/>
    <xf numFmtId="0" fontId="17" fillId="0" borderId="9" xfId="0" applyFont="1" applyBorder="1"/>
    <xf numFmtId="0" fontId="19" fillId="0" borderId="46" xfId="0" applyFont="1" applyBorder="1"/>
    <xf numFmtId="0" fontId="19" fillId="0" borderId="8" xfId="0" applyFont="1" applyBorder="1"/>
    <xf numFmtId="0" fontId="19" fillId="0" borderId="9" xfId="0" applyFont="1" applyBorder="1"/>
    <xf numFmtId="0" fontId="0" fillId="2" borderId="10" xfId="0" applyFont="1" applyFill="1" applyBorder="1" applyAlignment="1">
      <alignment wrapText="1"/>
    </xf>
    <xf numFmtId="0" fontId="0" fillId="2" borderId="12" xfId="0" applyFont="1" applyFill="1" applyBorder="1" applyAlignment="1">
      <alignment wrapText="1"/>
    </xf>
    <xf numFmtId="0" fontId="0" fillId="0" borderId="5" xfId="53" applyFont="1" applyFill="1" applyBorder="1" applyAlignment="1" applyProtection="1">
      <alignment wrapText="1"/>
    </xf>
    <xf numFmtId="0" fontId="0" fillId="0" borderId="6" xfId="54" applyFont="1" applyFill="1" applyBorder="1" applyAlignment="1" applyProtection="1">
      <alignment wrapText="1"/>
    </xf>
    <xf numFmtId="0" fontId="0" fillId="0" borderId="7" xfId="53" applyFont="1" applyFill="1" applyBorder="1" applyAlignment="1" applyProtection="1">
      <alignment wrapText="1"/>
    </xf>
    <xf numFmtId="0" fontId="0" fillId="0" borderId="9" xfId="54" applyFont="1" applyFill="1" applyBorder="1" applyAlignment="1" applyProtection="1">
      <alignment wrapText="1"/>
    </xf>
    <xf numFmtId="0" fontId="22" fillId="0" borderId="0" xfId="53" applyFill="1" applyBorder="1" applyAlignment="1" applyProtection="1">
      <alignment wrapText="1"/>
    </xf>
    <xf numFmtId="0" fontId="22" fillId="0" borderId="0" xfId="54" applyFill="1" applyBorder="1" applyAlignment="1" applyProtection="1">
      <alignment wrapText="1"/>
    </xf>
    <xf numFmtId="0" fontId="9" fillId="0" borderId="0" xfId="53" applyFont="1" applyFill="1" applyBorder="1" applyAlignment="1" applyProtection="1">
      <alignment wrapText="1"/>
    </xf>
    <xf numFmtId="0" fontId="0" fillId="2" borderId="10" xfId="0" applyFont="1" applyFill="1" applyBorder="1"/>
    <xf numFmtId="0" fontId="17" fillId="2" borderId="11" xfId="0" applyFont="1" applyFill="1" applyBorder="1"/>
    <xf numFmtId="0" fontId="0" fillId="2" borderId="11" xfId="0" applyFont="1" applyFill="1" applyBorder="1"/>
    <xf numFmtId="166" fontId="0" fillId="0" borderId="0" xfId="2" applyFont="1" applyBorder="1" applyAlignment="1" applyProtection="1"/>
    <xf numFmtId="0" fontId="0" fillId="0" borderId="5" xfId="0" applyBorder="1"/>
    <xf numFmtId="0" fontId="17" fillId="0" borderId="0" xfId="30" applyFont="1" applyBorder="1" applyAlignment="1">
      <alignment horizontal="left"/>
    </xf>
    <xf numFmtId="0" fontId="0" fillId="0" borderId="0" xfId="30" applyFont="1" applyBorder="1" applyAlignment="1">
      <alignment horizontal="left"/>
    </xf>
    <xf numFmtId="0" fontId="22" fillId="0" borderId="0" xfId="42" applyFill="1" applyBorder="1" applyAlignment="1" applyProtection="1">
      <alignment horizontal="right"/>
    </xf>
    <xf numFmtId="9" fontId="0" fillId="0" borderId="0" xfId="0" applyNumberFormat="1" applyBorder="1" applyAlignment="1">
      <alignment horizontal="right"/>
    </xf>
    <xf numFmtId="9" fontId="0" fillId="0" borderId="0" xfId="3" applyFont="1" applyBorder="1" applyAlignment="1" applyProtection="1">
      <alignment horizontal="right"/>
    </xf>
    <xf numFmtId="186" fontId="0" fillId="0" borderId="0" xfId="2" applyNumberFormat="1" applyFont="1" applyBorder="1" applyAlignment="1" applyProtection="1">
      <alignment horizontal="right"/>
    </xf>
    <xf numFmtId="186" fontId="17" fillId="0" borderId="0" xfId="55" applyNumberFormat="1" applyFont="1" applyFill="1" applyBorder="1" applyAlignment="1" applyProtection="1">
      <alignment horizontal="right"/>
    </xf>
    <xf numFmtId="186" fontId="22" fillId="0" borderId="0" xfId="30" applyNumberFormat="1" applyBorder="1" applyAlignment="1">
      <alignment horizontal="right"/>
    </xf>
    <xf numFmtId="187" fontId="0" fillId="0" borderId="0" xfId="17" applyNumberFormat="1" applyFont="1" applyBorder="1" applyAlignment="1" applyProtection="1">
      <alignment horizontal="right"/>
    </xf>
    <xf numFmtId="187" fontId="0" fillId="0" borderId="6" xfId="16" applyNumberFormat="1" applyFont="1" applyBorder="1" applyAlignment="1" applyProtection="1">
      <alignment horizontal="right"/>
    </xf>
    <xf numFmtId="9" fontId="0" fillId="0" borderId="0" xfId="34" applyFont="1" applyBorder="1" applyAlignment="1" applyProtection="1">
      <alignment horizontal="right"/>
    </xf>
    <xf numFmtId="0" fontId="0" fillId="0" borderId="7" xfId="0" applyBorder="1"/>
    <xf numFmtId="0" fontId="17" fillId="0" borderId="8" xfId="30" applyFont="1" applyBorder="1" applyAlignment="1">
      <alignment horizontal="left"/>
    </xf>
    <xf numFmtId="0" fontId="0" fillId="0" borderId="8" xfId="30" applyFont="1" applyBorder="1" applyAlignment="1">
      <alignment horizontal="left"/>
    </xf>
    <xf numFmtId="0" fontId="22" fillId="0" borderId="8" xfId="42" applyFill="1" applyBorder="1" applyAlignment="1" applyProtection="1">
      <alignment horizontal="right"/>
    </xf>
    <xf numFmtId="9" fontId="0" fillId="0" borderId="8" xfId="0" applyNumberFormat="1" applyBorder="1" applyAlignment="1">
      <alignment horizontal="right"/>
    </xf>
    <xf numFmtId="9" fontId="0" fillId="0" borderId="8" xfId="34" applyFont="1" applyBorder="1" applyAlignment="1" applyProtection="1">
      <alignment horizontal="right"/>
    </xf>
    <xf numFmtId="186" fontId="0" fillId="0" borderId="8" xfId="2" applyNumberFormat="1" applyFont="1" applyBorder="1" applyAlignment="1" applyProtection="1">
      <alignment horizontal="right"/>
    </xf>
    <xf numFmtId="186" fontId="17" fillId="0" borderId="8" xfId="55" applyNumberFormat="1" applyFont="1" applyFill="1" applyBorder="1" applyAlignment="1" applyProtection="1">
      <alignment horizontal="right"/>
    </xf>
    <xf numFmtId="186" fontId="22" fillId="0" borderId="8" xfId="30" applyNumberFormat="1" applyBorder="1" applyAlignment="1">
      <alignment horizontal="right"/>
    </xf>
    <xf numFmtId="187" fontId="0" fillId="0" borderId="8" xfId="17" applyNumberFormat="1" applyFont="1" applyBorder="1" applyAlignment="1" applyProtection="1">
      <alignment horizontal="right"/>
    </xf>
    <xf numFmtId="187" fontId="0" fillId="0" borderId="9" xfId="16" applyNumberFormat="1" applyFont="1" applyBorder="1" applyAlignment="1" applyProtection="1">
      <alignment horizontal="right"/>
    </xf>
    <xf numFmtId="187" fontId="0" fillId="0" borderId="0" xfId="16" applyNumberFormat="1" applyFont="1" applyBorder="1" applyAlignment="1" applyProtection="1">
      <alignment horizontal="right"/>
    </xf>
    <xf numFmtId="170" fontId="0" fillId="0" borderId="0" xfId="0" applyNumberFormat="1"/>
    <xf numFmtId="0" fontId="17" fillId="2" borderId="10" xfId="0" applyFont="1" applyFill="1" applyBorder="1" applyAlignment="1">
      <alignment horizontal="left"/>
    </xf>
    <xf numFmtId="0" fontId="17" fillId="2" borderId="11" xfId="30" applyFont="1" applyFill="1" applyBorder="1" applyAlignment="1">
      <alignment horizontal="left" wrapText="1"/>
    </xf>
    <xf numFmtId="0" fontId="17" fillId="2" borderId="12" xfId="30" applyFont="1" applyFill="1" applyBorder="1" applyAlignment="1">
      <alignment horizontal="left" wrapText="1"/>
    </xf>
    <xf numFmtId="0" fontId="0" fillId="2" borderId="10" xfId="54" applyFont="1" applyFill="1" applyBorder="1" applyAlignment="1" applyProtection="1">
      <alignment horizontal="left" wrapText="1"/>
    </xf>
    <xf numFmtId="0" fontId="0" fillId="2" borderId="11" xfId="54" applyFont="1" applyFill="1" applyBorder="1" applyAlignment="1" applyProtection="1">
      <alignment horizontal="left" wrapText="1"/>
    </xf>
    <xf numFmtId="9" fontId="0" fillId="2" borderId="12" xfId="3" applyFont="1" applyFill="1" applyBorder="1" applyAlignment="1" applyProtection="1">
      <alignment horizontal="left" wrapText="1"/>
    </xf>
    <xf numFmtId="0" fontId="22" fillId="0" borderId="5" xfId="54" applyFill="1" applyBorder="1" applyAlignment="1" applyProtection="1"/>
    <xf numFmtId="9" fontId="22" fillId="0" borderId="0" xfId="54" applyNumberFormat="1" applyFill="1" applyBorder="1" applyAlignment="1" applyProtection="1"/>
    <xf numFmtId="9" fontId="0" fillId="0" borderId="6" xfId="3" applyFont="1" applyBorder="1" applyAlignment="1" applyProtection="1"/>
    <xf numFmtId="0" fontId="22" fillId="0" borderId="7" xfId="54" applyFill="1" applyBorder="1" applyAlignment="1" applyProtection="1"/>
    <xf numFmtId="9" fontId="22" fillId="0" borderId="8" xfId="54" applyNumberFormat="1" applyFill="1" applyBorder="1" applyAlignment="1" applyProtection="1"/>
    <xf numFmtId="9" fontId="0" fillId="0" borderId="9" xfId="3" applyFont="1" applyBorder="1" applyAlignment="1" applyProtection="1"/>
    <xf numFmtId="183" fontId="0" fillId="2" borderId="10" xfId="0" applyNumberFormat="1" applyFont="1" applyFill="1" applyBorder="1"/>
    <xf numFmtId="188" fontId="0" fillId="2" borderId="11" xfId="0" applyNumberFormat="1" applyFont="1" applyFill="1" applyBorder="1" applyAlignment="1">
      <alignment wrapText="1"/>
    </xf>
    <xf numFmtId="183" fontId="0" fillId="2" borderId="12" xfId="0" applyNumberFormat="1" applyFont="1" applyFill="1" applyBorder="1" applyAlignment="1">
      <alignment wrapText="1"/>
    </xf>
    <xf numFmtId="188" fontId="0" fillId="0" borderId="0" xfId="0" applyNumberFormat="1" applyBorder="1"/>
    <xf numFmtId="180" fontId="0" fillId="0" borderId="0" xfId="1" applyNumberFormat="1" applyFont="1" applyBorder="1" applyAlignment="1" applyProtection="1"/>
    <xf numFmtId="189" fontId="17" fillId="0" borderId="0" xfId="1" applyNumberFormat="1" applyFont="1" applyBorder="1" applyAlignment="1" applyProtection="1"/>
    <xf numFmtId="183" fontId="17" fillId="0" borderId="6" xfId="56" applyNumberFormat="1" applyFont="1" applyFill="1" applyBorder="1" applyAlignment="1" applyProtection="1"/>
    <xf numFmtId="189" fontId="0" fillId="0" borderId="0" xfId="1" applyNumberFormat="1" applyFont="1" applyBorder="1" applyAlignment="1" applyProtection="1"/>
    <xf numFmtId="180" fontId="0" fillId="0" borderId="8" xfId="1" applyNumberFormat="1" applyFont="1" applyBorder="1" applyAlignment="1" applyProtection="1"/>
    <xf numFmtId="189" fontId="17" fillId="0" borderId="8" xfId="1" applyNumberFormat="1" applyFont="1" applyBorder="1" applyAlignment="1" applyProtection="1"/>
    <xf numFmtId="183" fontId="17" fillId="0" borderId="9" xfId="56" applyNumberFormat="1" applyFont="1" applyFill="1" applyBorder="1" applyAlignment="1" applyProtection="1"/>
    <xf numFmtId="0" fontId="0" fillId="2" borderId="10" xfId="30" applyFont="1" applyFill="1" applyBorder="1"/>
    <xf numFmtId="0" fontId="0" fillId="2" borderId="12" xfId="30" applyFont="1" applyFill="1" applyBorder="1"/>
    <xf numFmtId="0" fontId="22" fillId="0" borderId="0" xfId="30"/>
    <xf numFmtId="0" fontId="0" fillId="0" borderId="5" xfId="30" applyFont="1" applyBorder="1"/>
    <xf numFmtId="183" fontId="22" fillId="0" borderId="6" xfId="30" applyNumberFormat="1" applyBorder="1"/>
    <xf numFmtId="0" fontId="0" fillId="0" borderId="7" xfId="30" applyFont="1" applyBorder="1"/>
    <xf numFmtId="183" fontId="22" fillId="0" borderId="9" xfId="30" applyNumberFormat="1" applyBorder="1"/>
    <xf numFmtId="0" fontId="0" fillId="0" borderId="0" xfId="30" applyFont="1" applyBorder="1"/>
    <xf numFmtId="183" fontId="0" fillId="2" borderId="47" xfId="0" applyNumberFormat="1" applyFont="1" applyFill="1" applyBorder="1"/>
    <xf numFmtId="166" fontId="0" fillId="0" borderId="48" xfId="2" applyFont="1" applyBorder="1" applyAlignment="1" applyProtection="1"/>
    <xf numFmtId="0" fontId="0" fillId="2" borderId="47" xfId="0" applyFont="1" applyFill="1" applyBorder="1"/>
    <xf numFmtId="10" fontId="0" fillId="0" borderId="48" xfId="0" applyNumberFormat="1" applyBorder="1"/>
    <xf numFmtId="0" fontId="15" fillId="0" borderId="0" xfId="0" applyFont="1" applyAlignment="1">
      <alignment horizontal="left"/>
    </xf>
    <xf numFmtId="166" fontId="0" fillId="2" borderId="12" xfId="39" applyNumberFormat="1" applyFont="1" applyBorder="1" applyAlignment="1" applyProtection="1">
      <alignment wrapText="1"/>
    </xf>
    <xf numFmtId="174" fontId="17" fillId="0" borderId="6" xfId="2" applyNumberFormat="1" applyFont="1" applyBorder="1" applyAlignment="1" applyProtection="1"/>
    <xf numFmtId="174" fontId="17" fillId="0" borderId="9" xfId="2" applyNumberFormat="1" applyFont="1" applyBorder="1" applyAlignment="1" applyProtection="1"/>
    <xf numFmtId="49" fontId="17" fillId="2" borderId="12" xfId="0" applyNumberFormat="1" applyFont="1" applyFill="1" applyBorder="1" applyAlignment="1">
      <alignment wrapText="1"/>
    </xf>
    <xf numFmtId="9" fontId="17" fillId="0" borderId="0" xfId="3" applyFont="1" applyBorder="1" applyAlignment="1" applyProtection="1"/>
    <xf numFmtId="1" fontId="17" fillId="0" borderId="0" xfId="3" applyNumberFormat="1" applyFont="1" applyBorder="1" applyAlignment="1" applyProtection="1"/>
    <xf numFmtId="184" fontId="17" fillId="0" borderId="0" xfId="57" applyNumberFormat="1" applyFont="1" applyFill="1" applyBorder="1" applyAlignment="1" applyProtection="1"/>
    <xf numFmtId="174" fontId="17" fillId="0" borderId="0" xfId="57" applyNumberFormat="1" applyFont="1" applyFill="1" applyBorder="1" applyAlignment="1" applyProtection="1"/>
    <xf numFmtId="174" fontId="17" fillId="0" borderId="6" xfId="57" applyNumberFormat="1" applyFont="1" applyFill="1" applyBorder="1" applyAlignment="1" applyProtection="1"/>
    <xf numFmtId="9" fontId="17" fillId="0" borderId="8" xfId="3" applyFont="1" applyBorder="1" applyAlignment="1" applyProtection="1"/>
    <xf numFmtId="1" fontId="17" fillId="0" borderId="8" xfId="3" applyNumberFormat="1" applyFont="1" applyBorder="1" applyAlignment="1" applyProtection="1"/>
    <xf numFmtId="0" fontId="17" fillId="0" borderId="4" xfId="0" applyFont="1" applyBorder="1"/>
    <xf numFmtId="187" fontId="0" fillId="0" borderId="8" xfId="16" applyNumberFormat="1" applyFont="1" applyBorder="1" applyAlignment="1" applyProtection="1">
      <alignment horizontal="right"/>
    </xf>
    <xf numFmtId="190" fontId="3" fillId="0" borderId="6" xfId="56" applyNumberFormat="1" applyFill="1" applyBorder="1" applyAlignment="1" applyProtection="1"/>
    <xf numFmtId="0" fontId="23" fillId="0" borderId="0" xfId="0" applyFont="1" applyAlignment="1">
      <alignment horizontal="right" vertical="center"/>
    </xf>
    <xf numFmtId="0" fontId="23" fillId="0" borderId="8" xfId="0" applyFont="1" applyBorder="1" applyAlignment="1">
      <alignment horizontal="right" vertical="center"/>
    </xf>
    <xf numFmtId="0" fontId="8" fillId="0" borderId="0" xfId="0" applyFont="1" applyBorder="1" applyAlignment="1">
      <alignment vertical="center" wrapText="1"/>
    </xf>
    <xf numFmtId="0" fontId="9" fillId="14" borderId="6" xfId="0" applyFont="1" applyFill="1" applyBorder="1" applyAlignment="1">
      <alignment horizontal="center"/>
    </xf>
  </cellXfs>
  <cellStyles count="58">
    <cellStyle name="20% - Accent1 2" xfId="4" xr:uid="{00000000-0005-0000-0000-000006000000}"/>
    <cellStyle name="20% - Accent4 2" xfId="5" xr:uid="{00000000-0005-0000-0000-000007000000}"/>
    <cellStyle name="40% - Accent4 2" xfId="6" xr:uid="{00000000-0005-0000-0000-000008000000}"/>
    <cellStyle name="40% - Accent5 2" xfId="7" xr:uid="{00000000-0005-0000-0000-000009000000}"/>
    <cellStyle name="40% - Accent6 2" xfId="8" xr:uid="{00000000-0005-0000-0000-00000A000000}"/>
    <cellStyle name="Accent4 2" xfId="9" xr:uid="{00000000-0005-0000-0000-00000B000000}"/>
    <cellStyle name="Bad 2" xfId="10" xr:uid="{00000000-0005-0000-0000-00000C000000}"/>
    <cellStyle name="Comma" xfId="1" builtinId="3"/>
    <cellStyle name="Comma 2" xfId="11" xr:uid="{00000000-0005-0000-0000-00000D000000}"/>
    <cellStyle name="Comma 2 2" xfId="12" xr:uid="{00000000-0005-0000-0000-00000E000000}"/>
    <cellStyle name="Comma 3" xfId="13" xr:uid="{00000000-0005-0000-0000-00000F000000}"/>
    <cellStyle name="Comma 4" xfId="14" xr:uid="{00000000-0005-0000-0000-000010000000}"/>
    <cellStyle name="Comma 5" xfId="15" xr:uid="{00000000-0005-0000-0000-000011000000}"/>
    <cellStyle name="Currency" xfId="2" builtinId="4"/>
    <cellStyle name="Currency [0] 2" xfId="24" xr:uid="{00000000-0005-0000-0000-00001A000000}"/>
    <cellStyle name="Currency 2" xfId="16" xr:uid="{00000000-0005-0000-0000-000012000000}"/>
    <cellStyle name="Currency 2 2" xfId="17" xr:uid="{00000000-0005-0000-0000-000013000000}"/>
    <cellStyle name="Currency 2 3" xfId="18" xr:uid="{00000000-0005-0000-0000-000014000000}"/>
    <cellStyle name="Currency 3" xfId="19" xr:uid="{00000000-0005-0000-0000-000015000000}"/>
    <cellStyle name="Currency 3 2" xfId="20" xr:uid="{00000000-0005-0000-0000-000016000000}"/>
    <cellStyle name="Currency 3 3" xfId="21" xr:uid="{00000000-0005-0000-0000-000017000000}"/>
    <cellStyle name="Currency 4" xfId="22" xr:uid="{00000000-0005-0000-0000-000018000000}"/>
    <cellStyle name="Currency 5" xfId="23" xr:uid="{00000000-0005-0000-0000-000019000000}"/>
    <cellStyle name="Excel Built-in 20% - Accent1" xfId="39" xr:uid="{00000000-0005-0000-0000-000029000000}"/>
    <cellStyle name="Excel Built-in 20% - Accent2" xfId="40" xr:uid="{00000000-0005-0000-0000-00002A000000}"/>
    <cellStyle name="Excel Built-in 20% - Accent3" xfId="47" xr:uid="{00000000-0005-0000-0000-000031000000}"/>
    <cellStyle name="Excel Built-in 20% - Accent4" xfId="42" xr:uid="{00000000-0005-0000-0000-00002C000000}"/>
    <cellStyle name="Excel Built-in 20% - Accent5" xfId="48" xr:uid="{00000000-0005-0000-0000-000032000000}"/>
    <cellStyle name="Excel Built-in 20% - Accent6" xfId="43" xr:uid="{00000000-0005-0000-0000-00002D000000}"/>
    <cellStyle name="Excel Built-in 40% - Accent2" xfId="49" xr:uid="{00000000-0005-0000-0000-000033000000}"/>
    <cellStyle name="Excel Built-in 40% - Accent3" xfId="41" xr:uid="{00000000-0005-0000-0000-00002B000000}"/>
    <cellStyle name="Excel Built-in 40% - Accent4" xfId="51" xr:uid="{00000000-0005-0000-0000-000035000000}"/>
    <cellStyle name="Excel Built-in 40% - Accent5" xfId="54" xr:uid="{00000000-0005-0000-0000-000038000000}"/>
    <cellStyle name="Excel Built-in 40% - Accent6" xfId="53" xr:uid="{00000000-0005-0000-0000-000037000000}"/>
    <cellStyle name="Excel Built-in 60% - Accent5" xfId="45" xr:uid="{00000000-0005-0000-0000-00002F000000}"/>
    <cellStyle name="Excel Built-in 60% - Accent6" xfId="50" xr:uid="{00000000-0005-0000-0000-000034000000}"/>
    <cellStyle name="Excel Built-in Accent4" xfId="55" xr:uid="{00000000-0005-0000-0000-000039000000}"/>
    <cellStyle name="Excel Built-in Bad" xfId="57" xr:uid="{00000000-0005-0000-0000-00003B000000}"/>
    <cellStyle name="Excel Built-in Calculation" xfId="46" xr:uid="{00000000-0005-0000-0000-000030000000}"/>
    <cellStyle name="Excel Built-in Comma [0] 2" xfId="44" xr:uid="{00000000-0005-0000-0000-00002E000000}"/>
    <cellStyle name="Excel Built-in Currency [0] 1" xfId="38" xr:uid="{00000000-0005-0000-0000-000028000000}"/>
    <cellStyle name="Excel Built-in Good" xfId="56" xr:uid="{00000000-0005-0000-0000-00003A000000}"/>
    <cellStyle name="Excel Built-in Input" xfId="37" xr:uid="{00000000-0005-0000-0000-000027000000}"/>
    <cellStyle name="Excel Built-in Neutral" xfId="52" xr:uid="{00000000-0005-0000-0000-000036000000}"/>
    <cellStyle name="Good 2" xfId="25" xr:uid="{00000000-0005-0000-0000-00001B000000}"/>
    <cellStyle name="Neutral 2" xfId="26" xr:uid="{00000000-0005-0000-0000-00001C000000}"/>
    <cellStyle name="Normal" xfId="0" builtinId="0"/>
    <cellStyle name="Normal 2" xfId="27" xr:uid="{00000000-0005-0000-0000-00001D000000}"/>
    <cellStyle name="Normal 2 2" xfId="28" xr:uid="{00000000-0005-0000-0000-00001E000000}"/>
    <cellStyle name="Normal 2 3" xfId="29" xr:uid="{00000000-0005-0000-0000-00001F000000}"/>
    <cellStyle name="Normal 3" xfId="30" xr:uid="{00000000-0005-0000-0000-000020000000}"/>
    <cellStyle name="Normal 3 2" xfId="31" xr:uid="{00000000-0005-0000-0000-000021000000}"/>
    <cellStyle name="Normal 4" xfId="32" xr:uid="{00000000-0005-0000-0000-000022000000}"/>
    <cellStyle name="Normal 5" xfId="33" xr:uid="{00000000-0005-0000-0000-000023000000}"/>
    <cellStyle name="Percent" xfId="3" builtinId="5"/>
    <cellStyle name="Percent 2" xfId="34" xr:uid="{00000000-0005-0000-0000-000024000000}"/>
    <cellStyle name="Percent 2 2" xfId="35" xr:uid="{00000000-0005-0000-0000-000025000000}"/>
    <cellStyle name="Percent 2 3" xfId="36" xr:uid="{00000000-0005-0000-0000-000026000000}"/>
  </cellStyles>
  <dxfs count="13">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color rgb="FF9C0006"/>
      </font>
      <fill>
        <patternFill>
          <bgColor rgb="FFFFC7CE"/>
        </patternFill>
      </fill>
    </dxf>
    <dxf>
      <font>
        <color rgb="FF9C0006"/>
      </font>
      <fill>
        <patternFill>
          <bgColor rgb="FFFFC7CE"/>
        </patternFill>
      </fill>
    </dxf>
    <dxf>
      <font>
        <b/>
        <i val="0"/>
        <color rgb="FF9C0006"/>
      </font>
      <fill>
        <patternFill>
          <bgColor rgb="FFFFFFFF"/>
        </patternFill>
      </fill>
    </dxf>
    <dxf>
      <font>
        <b/>
        <i val="0"/>
        <color rgb="FF9C0006"/>
      </font>
      <fill>
        <patternFill>
          <bgColor rgb="FFFFFFFF"/>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EDEDED"/>
      <rgbColor rgb="FF9C0006"/>
      <rgbColor rgb="FF006100"/>
      <rgbColor rgb="FF000080"/>
      <rgbColor rgb="FF9C6500"/>
      <rgbColor rgb="FF800080"/>
      <rgbColor rgb="FF008080"/>
      <rgbColor rgb="FFB4C7E7"/>
      <rgbColor rgb="FF808080"/>
      <rgbColor rgb="FF8FAADC"/>
      <rgbColor rgb="FF993366"/>
      <rgbColor rgb="FFFFF2CC"/>
      <rgbColor rgb="FFDEEBF7"/>
      <rgbColor rgb="FF660066"/>
      <rgbColor rgb="FFED7D31"/>
      <rgbColor rgb="FF0066CC"/>
      <rgbColor rgb="FFBDD7EE"/>
      <rgbColor rgb="FF000080"/>
      <rgbColor rgb="FFFF00FF"/>
      <rgbColor rgb="FFFFE699"/>
      <rgbColor rgb="FFF2F2F2"/>
      <rgbColor rgb="FF800080"/>
      <rgbColor rgb="FF800000"/>
      <rgbColor rgb="FF008080"/>
      <rgbColor rgb="FF0000FF"/>
      <rgbColor rgb="FFFBE5D6"/>
      <rgbColor rgb="FFE2F0D9"/>
      <rgbColor rgb="FFC6EFCE"/>
      <rgbColor rgb="FFFFEB9C"/>
      <rgbColor rgb="FFC5E0B4"/>
      <rgbColor rgb="FFFFC7CE"/>
      <rgbColor rgb="FFDBDBDB"/>
      <rgbColor rgb="FFFFCC99"/>
      <rgbColor rgb="FF3366FF"/>
      <rgbColor rgb="FF5B9BD5"/>
      <rgbColor rgb="FFA9D18E"/>
      <rgbColor rgb="FFFFC000"/>
      <rgbColor rgb="FFF8CBAD"/>
      <rgbColor rgb="FFFA7D00"/>
      <rgbColor rgb="FFDAE3F3"/>
      <rgbColor rgb="FF7F7F7F"/>
      <rgbColor rgb="FF003366"/>
      <rgbColor rgb="FF00B050"/>
      <rgbColor rgb="FF003300"/>
      <rgbColor rgb="FF333300"/>
      <rgbColor rgb="FF993300"/>
      <rgbColor rgb="FF993366"/>
      <rgbColor rgb="FF3F3F76"/>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304920</xdr:colOff>
      <xdr:row>1</xdr:row>
      <xdr:rowOff>85680</xdr:rowOff>
    </xdr:from>
    <xdr:to>
      <xdr:col>16</xdr:col>
      <xdr:colOff>322920</xdr:colOff>
      <xdr:row>43</xdr:row>
      <xdr:rowOff>18000</xdr:rowOff>
    </xdr:to>
    <xdr:pic>
      <xdr:nvPicPr>
        <xdr:cNvPr id="2" name="Picture 5">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304920" y="276120"/>
          <a:ext cx="9639360" cy="66186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39204</xdr:colOff>
      <xdr:row>2</xdr:row>
      <xdr:rowOff>15710</xdr:rowOff>
    </xdr:from>
    <xdr:to>
      <xdr:col>5</xdr:col>
      <xdr:colOff>268818</xdr:colOff>
      <xdr:row>7</xdr:row>
      <xdr:rowOff>52430</xdr:rowOff>
    </xdr:to>
    <xdr:pic>
      <xdr:nvPicPr>
        <xdr:cNvPr id="2" name="Picture 5" descr="C:\Users\Tester\Desktop\Panteia logo payoff - RGB.jp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9909000" y="275760"/>
          <a:ext cx="2328480" cy="70344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104760</xdr:colOff>
      <xdr:row>0</xdr:row>
      <xdr:rowOff>57240</xdr:rowOff>
    </xdr:from>
    <xdr:to>
      <xdr:col>0</xdr:col>
      <xdr:colOff>1083240</xdr:colOff>
      <xdr:row>7</xdr:row>
      <xdr:rowOff>102600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104760" y="57240"/>
          <a:ext cx="978480" cy="978480"/>
        </a:xfrm>
        <a:prstGeom prst="rect">
          <a:avLst/>
        </a:prstGeom>
        <a:ln>
          <a:noFill/>
        </a:ln>
      </xdr:spPr>
    </xdr:pic>
    <xdr:clientData/>
  </xdr:twoCellAnchor>
  <xdr:twoCellAnchor editAs="absolute">
    <xdr:from>
      <xdr:col>4</xdr:col>
      <xdr:colOff>1314360</xdr:colOff>
      <xdr:row>2</xdr:row>
      <xdr:rowOff>0</xdr:rowOff>
    </xdr:from>
    <xdr:to>
      <xdr:col>5</xdr:col>
      <xdr:colOff>1547280</xdr:colOff>
      <xdr:row>7</xdr:row>
      <xdr:rowOff>42840</xdr:rowOff>
    </xdr:to>
    <xdr:pic>
      <xdr:nvPicPr>
        <xdr:cNvPr id="3" name="Picture 2" descr="C:\Users\Tester\Desktop\Panteia logo payoff - RGB.jpg">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xdr:blipFill>
      <xdr:spPr>
        <a:xfrm>
          <a:off x="10518480" y="266400"/>
          <a:ext cx="2334960" cy="70956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1"/>
  <sheetViews>
    <sheetView topLeftCell="A10" zoomScaleNormal="100" workbookViewId="0">
      <selection activeCell="S19" sqref="S19"/>
    </sheetView>
  </sheetViews>
  <sheetFormatPr defaultColWidth="8.7109375" defaultRowHeight="10.5" x14ac:dyDescent="0.15"/>
  <sheetData>
    <row r="1" spans="1:1" ht="15" x14ac:dyDescent="0.15">
      <c r="A1" s="1"/>
    </row>
    <row r="2" spans="1:1" ht="15" x14ac:dyDescent="0.15">
      <c r="A2" s="2"/>
    </row>
    <row r="3" spans="1:1" ht="15" x14ac:dyDescent="0.15">
      <c r="A3" s="2"/>
    </row>
    <row r="4" spans="1:1" ht="15" x14ac:dyDescent="0.15">
      <c r="A4" s="2"/>
    </row>
    <row r="5" spans="1:1" ht="15" x14ac:dyDescent="0.15">
      <c r="A5" s="1"/>
    </row>
    <row r="6" spans="1:1" ht="15" x14ac:dyDescent="0.15">
      <c r="A6" s="2"/>
    </row>
    <row r="7" spans="1:1" ht="15" x14ac:dyDescent="0.15">
      <c r="A7" s="2"/>
    </row>
    <row r="8" spans="1:1" ht="15" x14ac:dyDescent="0.15">
      <c r="A8" s="2"/>
    </row>
    <row r="9" spans="1:1" ht="15" x14ac:dyDescent="0.15">
      <c r="A9" s="1"/>
    </row>
    <row r="10" spans="1:1" ht="15" x14ac:dyDescent="0.15">
      <c r="A10" s="2"/>
    </row>
    <row r="11" spans="1:1" ht="15" x14ac:dyDescent="0.15">
      <c r="A11" s="2"/>
    </row>
    <row r="12" spans="1:1" ht="15" x14ac:dyDescent="0.15">
      <c r="A12" s="1"/>
    </row>
    <row r="13" spans="1:1" ht="15" x14ac:dyDescent="0.15">
      <c r="A13" s="2"/>
    </row>
    <row r="14" spans="1:1" ht="15" x14ac:dyDescent="0.15">
      <c r="A14" s="2"/>
    </row>
    <row r="15" spans="1:1" ht="15" x14ac:dyDescent="0.15">
      <c r="A15" s="1"/>
    </row>
    <row r="16" spans="1:1" ht="15" x14ac:dyDescent="0.15">
      <c r="A16" s="2"/>
    </row>
    <row r="17" spans="1:1" ht="15" x14ac:dyDescent="0.15">
      <c r="A17" s="2"/>
    </row>
    <row r="18" spans="1:1" ht="15" x14ac:dyDescent="0.15">
      <c r="A18" s="1"/>
    </row>
    <row r="19" spans="1:1" ht="15" x14ac:dyDescent="0.15">
      <c r="A19" s="2"/>
    </row>
    <row r="21" spans="1:1" ht="15" x14ac:dyDescent="0.15">
      <c r="A21" s="2"/>
    </row>
  </sheetData>
  <pageMargins left="0.7" right="0.7" top="0.75" bottom="0.75" header="0.51180555555555496" footer="0.51180555555555496"/>
  <pageSetup paperSize="9" firstPageNumber="0" orientation="portrait" horizontalDpi="300" verticalDpi="30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50"/>
    <pageSetUpPr fitToPage="1"/>
  </sheetPr>
  <dimension ref="A1:AMJ100"/>
  <sheetViews>
    <sheetView tabSelected="1" topLeftCell="B41" zoomScale="120" zoomScaleNormal="120" workbookViewId="0">
      <selection activeCell="E53" sqref="E53"/>
    </sheetView>
  </sheetViews>
  <sheetFormatPr defaultColWidth="9.140625" defaultRowHeight="10.5" outlineLevelRow="2" x14ac:dyDescent="0.15"/>
  <cols>
    <col min="1" max="1" width="47.5703125" style="3" customWidth="1"/>
    <col min="2" max="2" width="30.140625" style="3" customWidth="1"/>
    <col min="3" max="3" width="30.5703125" style="3" customWidth="1"/>
    <col min="4" max="4" width="35.42578125" style="3" customWidth="1"/>
    <col min="5" max="5" width="30.5703125" style="3" customWidth="1"/>
    <col min="6" max="6" width="16.5703125" style="3" customWidth="1"/>
    <col min="7" max="1024" width="9.140625" style="3"/>
  </cols>
  <sheetData>
    <row r="1" spans="1:9" x14ac:dyDescent="0.15">
      <c r="A1" s="4"/>
      <c r="B1" s="5"/>
      <c r="C1" s="5"/>
      <c r="D1" s="5"/>
      <c r="E1" s="5"/>
      <c r="F1" s="6"/>
    </row>
    <row r="2" spans="1:9" x14ac:dyDescent="0.15">
      <c r="A2" s="7"/>
      <c r="B2" s="8"/>
      <c r="C2" s="8"/>
      <c r="D2" s="8"/>
      <c r="E2" s="8"/>
      <c r="F2" s="9"/>
    </row>
    <row r="3" spans="1:9" x14ac:dyDescent="0.15">
      <c r="A3" s="7"/>
      <c r="B3" s="8" t="s">
        <v>0</v>
      </c>
      <c r="C3" s="8"/>
      <c r="D3" s="8"/>
      <c r="E3" s="8"/>
      <c r="F3" s="9"/>
    </row>
    <row r="4" spans="1:9" ht="10.5" customHeight="1" x14ac:dyDescent="0.15">
      <c r="A4" s="7"/>
      <c r="B4" s="565" t="s">
        <v>1</v>
      </c>
      <c r="C4" s="565"/>
      <c r="D4" s="565"/>
      <c r="E4" s="8"/>
      <c r="F4" s="9"/>
    </row>
    <row r="5" spans="1:9" x14ac:dyDescent="0.15">
      <c r="A5" s="7"/>
      <c r="B5" s="565"/>
      <c r="C5" s="565"/>
      <c r="D5" s="565"/>
      <c r="E5" s="8"/>
      <c r="F5" s="9"/>
    </row>
    <row r="6" spans="1:9" x14ac:dyDescent="0.15">
      <c r="A6" s="7"/>
      <c r="B6" s="565"/>
      <c r="C6" s="565"/>
      <c r="D6" s="565"/>
      <c r="E6" s="8"/>
      <c r="F6" s="9"/>
    </row>
    <row r="7" spans="1:9" x14ac:dyDescent="0.15">
      <c r="A7" s="7"/>
      <c r="B7" s="565"/>
      <c r="C7" s="565"/>
      <c r="D7" s="565"/>
      <c r="E7" s="8"/>
      <c r="F7" s="9"/>
    </row>
    <row r="8" spans="1:9" x14ac:dyDescent="0.15">
      <c r="A8" s="10"/>
      <c r="B8" s="11"/>
      <c r="C8" s="11"/>
      <c r="D8" s="11"/>
      <c r="E8" s="11"/>
      <c r="F8" s="12"/>
    </row>
    <row r="9" spans="1:9" x14ac:dyDescent="0.15">
      <c r="A9" s="13" t="s">
        <v>2</v>
      </c>
      <c r="B9" s="14" t="s">
        <v>3</v>
      </c>
      <c r="C9" s="15">
        <v>44095</v>
      </c>
      <c r="D9" s="16"/>
      <c r="E9" s="16"/>
      <c r="F9" s="17"/>
    </row>
    <row r="10" spans="1:9" x14ac:dyDescent="0.15">
      <c r="A10" s="18"/>
      <c r="B10" s="19" t="s">
        <v>4</v>
      </c>
      <c r="C10" s="20"/>
      <c r="D10" s="21"/>
      <c r="E10" s="21"/>
      <c r="F10" s="22"/>
    </row>
    <row r="11" spans="1:9" x14ac:dyDescent="0.15">
      <c r="A11" s="23" t="s">
        <v>5</v>
      </c>
      <c r="B11" s="24"/>
      <c r="C11" s="24"/>
      <c r="D11" s="24"/>
      <c r="E11" s="24"/>
      <c r="F11" s="25"/>
    </row>
    <row r="12" spans="1:9" x14ac:dyDescent="0.15">
      <c r="A12" s="26" t="s">
        <v>6</v>
      </c>
      <c r="B12" s="27" t="s">
        <v>7</v>
      </c>
      <c r="C12" s="28"/>
      <c r="D12" s="29" t="s">
        <v>8</v>
      </c>
      <c r="E12" s="30"/>
      <c r="F12" s="31" t="s">
        <v>9</v>
      </c>
    </row>
    <row r="13" spans="1:9" x14ac:dyDescent="0.15">
      <c r="A13" s="29" t="s">
        <v>10</v>
      </c>
      <c r="B13" s="32" t="s">
        <v>11</v>
      </c>
      <c r="C13" s="33"/>
      <c r="D13" s="29" t="s">
        <v>12</v>
      </c>
      <c r="E13" s="30"/>
      <c r="F13" s="31" t="s">
        <v>13</v>
      </c>
      <c r="H13" s="34"/>
      <c r="I13" s="34"/>
    </row>
    <row r="14" spans="1:9" x14ac:dyDescent="0.15">
      <c r="A14" s="29" t="s">
        <v>14</v>
      </c>
      <c r="B14" s="35">
        <v>120000</v>
      </c>
      <c r="C14" s="31" t="s">
        <v>15</v>
      </c>
      <c r="D14" s="29" t="s">
        <v>16</v>
      </c>
      <c r="E14" s="30">
        <v>150</v>
      </c>
      <c r="F14" s="31" t="s">
        <v>13</v>
      </c>
      <c r="H14" s="34"/>
      <c r="I14" s="34"/>
    </row>
    <row r="15" spans="1:9" x14ac:dyDescent="0.15">
      <c r="A15" s="29" t="s">
        <v>17</v>
      </c>
      <c r="B15" s="36" t="s">
        <v>18</v>
      </c>
      <c r="C15" s="31"/>
      <c r="D15" s="29" t="s">
        <v>19</v>
      </c>
      <c r="E15" s="30"/>
      <c r="F15" s="31" t="s">
        <v>20</v>
      </c>
      <c r="H15" s="34"/>
      <c r="I15" s="34"/>
    </row>
    <row r="16" spans="1:9" x14ac:dyDescent="0.15">
      <c r="A16" s="29" t="s">
        <v>21</v>
      </c>
      <c r="B16" s="35">
        <v>700</v>
      </c>
      <c r="C16" s="31" t="s">
        <v>22</v>
      </c>
      <c r="D16" s="29" t="s">
        <v>23</v>
      </c>
      <c r="E16" s="30"/>
      <c r="F16" s="31" t="s">
        <v>20</v>
      </c>
    </row>
    <row r="17" spans="1:7" x14ac:dyDescent="0.15">
      <c r="A17" s="37"/>
      <c r="B17" s="38"/>
      <c r="C17" s="38"/>
      <c r="D17" s="38"/>
      <c r="E17" s="38"/>
      <c r="F17" s="39"/>
    </row>
    <row r="18" spans="1:7" x14ac:dyDescent="0.15">
      <c r="A18" s="23" t="s">
        <v>24</v>
      </c>
      <c r="B18" s="40"/>
      <c r="C18" s="41"/>
      <c r="D18" s="24"/>
      <c r="E18" s="24"/>
      <c r="F18" s="25"/>
    </row>
    <row r="19" spans="1:7" x14ac:dyDescent="0.15">
      <c r="A19" s="42"/>
      <c r="B19" s="43"/>
      <c r="C19" s="44"/>
      <c r="D19" s="45"/>
      <c r="E19" s="46" t="s">
        <v>25</v>
      </c>
      <c r="F19" s="28"/>
    </row>
    <row r="20" spans="1:7" x14ac:dyDescent="0.15">
      <c r="A20" s="37"/>
      <c r="B20" s="47" t="s">
        <v>26</v>
      </c>
      <c r="C20" s="39"/>
      <c r="D20" s="37"/>
      <c r="E20" s="48" t="s">
        <v>27</v>
      </c>
      <c r="F20" s="39"/>
    </row>
    <row r="21" spans="1:7" x14ac:dyDescent="0.15">
      <c r="A21" s="29" t="s">
        <v>28</v>
      </c>
      <c r="B21" s="49"/>
      <c r="C21" s="33" t="str">
        <f>"default: "&amp;TEXT('Model parameters'!$B$92,"0,00") &amp; " €/liter"</f>
        <v>default: 1,39 €/liter</v>
      </c>
      <c r="D21" s="50" t="s">
        <v>29</v>
      </c>
      <c r="E21" s="51"/>
      <c r="F21" s="39" t="str">
        <f>"default: "&amp;TEXT(INDEX('Model parameters'!$E$4:$E$10,ondernemers_calc!$C$18),"€ #.##0")</f>
        <v>default: € 290.416</v>
      </c>
    </row>
    <row r="22" spans="1:7" x14ac:dyDescent="0.15">
      <c r="A22" s="29" t="s">
        <v>352</v>
      </c>
      <c r="B22" s="49"/>
      <c r="C22" s="33" t="str">
        <f>"default: "&amp;TEXT(INDEX('Model parameters'!$L$36:$L$45,ondernemers_calc!$C$31),"0,00") &amp; " €/kWh"</f>
        <v>default: 0,13 €/kWh</v>
      </c>
      <c r="D22" s="50" t="s">
        <v>30</v>
      </c>
      <c r="E22" s="51"/>
      <c r="F22" s="52"/>
    </row>
    <row r="23" spans="1:7" x14ac:dyDescent="0.15">
      <c r="A23" s="29" t="s">
        <v>351</v>
      </c>
      <c r="B23" s="49"/>
      <c r="C23" s="33" t="str">
        <f>"default: "&amp;TEXT(INDEX('Model parameters'!$M$36:$M$45,ondernemers_calc!$C$44),"0,00") &amp; " €/kWh"</f>
        <v>default: 0,59 €/kWh</v>
      </c>
      <c r="D23" s="29" t="s">
        <v>31</v>
      </c>
      <c r="E23" s="51"/>
      <c r="F23" s="52"/>
    </row>
    <row r="24" spans="1:7" x14ac:dyDescent="0.15">
      <c r="A24" s="37"/>
      <c r="B24" s="566" t="s">
        <v>32</v>
      </c>
      <c r="C24" s="566"/>
      <c r="D24" s="29" t="s">
        <v>33</v>
      </c>
      <c r="E24" s="53">
        <f>IF(ISBLANK(E21),ondernemers_calc!$I$24,E21)-E22-E23</f>
        <v>290416</v>
      </c>
      <c r="F24" s="52"/>
    </row>
    <row r="25" spans="1:7" x14ac:dyDescent="0.15">
      <c r="A25" s="54"/>
      <c r="B25" s="55" t="s">
        <v>34</v>
      </c>
      <c r="C25" s="56" t="s">
        <v>35</v>
      </c>
      <c r="D25" s="37"/>
      <c r="E25" s="38"/>
      <c r="F25" s="39"/>
    </row>
    <row r="26" spans="1:7" x14ac:dyDescent="0.15">
      <c r="A26" s="29" t="s">
        <v>36</v>
      </c>
      <c r="B26" s="30">
        <v>5</v>
      </c>
      <c r="C26" s="57">
        <v>5</v>
      </c>
      <c r="D26" s="29"/>
      <c r="E26" s="55" t="s">
        <v>37</v>
      </c>
      <c r="F26" s="58"/>
    </row>
    <row r="27" spans="1:7" x14ac:dyDescent="0.15">
      <c r="A27" s="29" t="s">
        <v>38</v>
      </c>
      <c r="B27" s="59"/>
      <c r="C27" s="59">
        <v>15000</v>
      </c>
      <c r="D27" s="29" t="s">
        <v>39</v>
      </c>
      <c r="E27" s="60"/>
      <c r="F27" s="39" t="str">
        <f>"default: "&amp;TEXT(INDEX('Model parameters'!$I$36:$I$45,ondernemers_calc!$C$31),"€ #.##0")</f>
        <v>default: € 2.200</v>
      </c>
    </row>
    <row r="28" spans="1:7" x14ac:dyDescent="0.15">
      <c r="A28" s="50" t="s">
        <v>40</v>
      </c>
      <c r="B28" s="61">
        <f>C28*(1-(B30-C30)/(260-C30))</f>
        <v>2559.8455598455598</v>
      </c>
      <c r="C28" s="59">
        <v>2600</v>
      </c>
      <c r="D28" s="29" t="s">
        <v>41</v>
      </c>
      <c r="E28" s="60"/>
      <c r="F28" s="39" t="str">
        <f>"default: "&amp;TEXT(INDEX('Model parameters'!$J$36:$J$45,ondernemers_calc!$C$31),"€ #.##0")</f>
        <v>default: € 620</v>
      </c>
    </row>
    <row r="29" spans="1:7" s="62" customFormat="1" x14ac:dyDescent="0.15">
      <c r="A29" s="50" t="s">
        <v>42</v>
      </c>
      <c r="B29" s="59">
        <v>5000</v>
      </c>
      <c r="C29" s="59">
        <v>1500</v>
      </c>
      <c r="D29" s="29" t="s">
        <v>31</v>
      </c>
      <c r="E29" s="51"/>
      <c r="F29" s="52"/>
      <c r="G29" s="3"/>
    </row>
    <row r="30" spans="1:7" x14ac:dyDescent="0.15">
      <c r="A30" s="29" t="s">
        <v>43</v>
      </c>
      <c r="B30" s="63">
        <v>5</v>
      </c>
      <c r="C30" s="63">
        <v>1</v>
      </c>
      <c r="D30" s="64" t="s">
        <v>44</v>
      </c>
      <c r="E30" s="65">
        <f>IF(ISBLANK(E27),ondernemers_calc!$I$27,E27)+IF(ISBLANK(E28),ondernemers_calc!$I$28,E28)-E29</f>
        <v>2820</v>
      </c>
      <c r="F30" s="52"/>
    </row>
    <row r="31" spans="1:7" ht="12" customHeight="1" x14ac:dyDescent="0.15">
      <c r="A31" s="29" t="s">
        <v>348</v>
      </c>
      <c r="B31" s="63">
        <v>0</v>
      </c>
      <c r="C31" s="63">
        <v>0</v>
      </c>
      <c r="D31" s="66"/>
      <c r="E31" s="67"/>
      <c r="F31" s="68"/>
    </row>
    <row r="32" spans="1:7" ht="12" customHeight="1" x14ac:dyDescent="0.15">
      <c r="A32" s="45"/>
      <c r="B32" s="43"/>
      <c r="C32" s="43"/>
      <c r="D32" s="43"/>
      <c r="E32" s="43"/>
      <c r="F32" s="28"/>
    </row>
    <row r="33" spans="1:6" ht="12" customHeight="1" x14ac:dyDescent="0.15">
      <c r="A33" s="23" t="s">
        <v>45</v>
      </c>
      <c r="B33" s="24"/>
      <c r="C33" s="24"/>
      <c r="D33" s="24"/>
      <c r="E33" s="25"/>
      <c r="F33" s="39"/>
    </row>
    <row r="34" spans="1:6" ht="12" customHeight="1" x14ac:dyDescent="0.15">
      <c r="A34" s="69" t="s">
        <v>46</v>
      </c>
      <c r="B34" s="70"/>
      <c r="C34" s="71" t="s">
        <v>47</v>
      </c>
      <c r="D34" s="71" t="s">
        <v>48</v>
      </c>
      <c r="E34" s="72" t="s">
        <v>49</v>
      </c>
      <c r="F34" s="39"/>
    </row>
    <row r="35" spans="1:6" ht="12" customHeight="1" x14ac:dyDescent="0.15">
      <c r="A35" s="73" t="s">
        <v>50</v>
      </c>
      <c r="B35" s="74"/>
      <c r="C35" s="75" t="str">
        <f>IFERROR(IF(ondernemers_calc!B$49="Yes","Scenario valid","Vehicle technology insufficient"),"Scenario valid")</f>
        <v>Vehicle technology insufficient</v>
      </c>
      <c r="D35" s="75" t="str">
        <f>IFERROR(IF(ondernemers_calc!C$49="Yes","Scenario valid","Vehicle technology insufficient"),"Scenario valid")</f>
        <v>Scenario valid</v>
      </c>
      <c r="E35" s="76" t="s">
        <v>51</v>
      </c>
      <c r="F35" s="39"/>
    </row>
    <row r="36" spans="1:6" ht="12" customHeight="1" x14ac:dyDescent="0.15">
      <c r="A36" s="37"/>
      <c r="B36" s="38"/>
      <c r="C36" s="38"/>
      <c r="D36" s="38"/>
      <c r="E36" s="38"/>
      <c r="F36" s="39"/>
    </row>
    <row r="37" spans="1:6" ht="22.5" customHeight="1" x14ac:dyDescent="0.15">
      <c r="A37" s="69" t="s">
        <v>6</v>
      </c>
      <c r="B37" s="70"/>
      <c r="C37" s="77" t="str">
        <f>ondernemers_calc!B$17</f>
        <v>Trekker-oplegger</v>
      </c>
      <c r="D37" s="77" t="str">
        <f>ondernemers_calc!C$17</f>
        <v>Trekker-oplegger</v>
      </c>
      <c r="E37" s="78" t="str">
        <f>B12</f>
        <v>Trekker-oplegger</v>
      </c>
      <c r="F37" s="39"/>
    </row>
    <row r="38" spans="1:6" ht="12" customHeight="1" x14ac:dyDescent="0.15">
      <c r="A38" s="79" t="s">
        <v>52</v>
      </c>
      <c r="B38" s="80"/>
      <c r="C38" s="81" t="str">
        <f>IFERROR(INDEX('Model parameters'!$B$36:$B$45,ondernemers_calc!B$30),"None")</f>
        <v>AC20</v>
      </c>
      <c r="D38" s="81" t="str">
        <f>IFERROR(INDEX('Model parameters'!$B$36:$B$45,ondernemers_calc!C$30),"None")</f>
        <v>AC20</v>
      </c>
      <c r="E38" s="82" t="s">
        <v>53</v>
      </c>
      <c r="F38" s="39"/>
    </row>
    <row r="39" spans="1:6" ht="12" customHeight="1" x14ac:dyDescent="0.15">
      <c r="A39" s="73" t="s">
        <v>54</v>
      </c>
      <c r="B39" s="74"/>
      <c r="C39" s="83" t="s">
        <v>55</v>
      </c>
      <c r="D39" s="83" t="str">
        <f>IFERROR(INDEX('Model parameters'!$B$36:$B$45,ondernemers_calc!C$43),"None")</f>
        <v>HPC150</v>
      </c>
      <c r="E39" s="84" t="s">
        <v>53</v>
      </c>
      <c r="F39" s="39"/>
    </row>
    <row r="40" spans="1:6" ht="12" customHeight="1" x14ac:dyDescent="0.15">
      <c r="A40" s="37"/>
      <c r="B40" s="38"/>
      <c r="C40" s="38"/>
      <c r="D40" s="85"/>
      <c r="E40" s="86" t="s">
        <v>56</v>
      </c>
      <c r="F40" s="39"/>
    </row>
    <row r="41" spans="1:6" ht="12" customHeight="1" x14ac:dyDescent="0.15">
      <c r="A41" s="69" t="s">
        <v>57</v>
      </c>
      <c r="B41" s="70"/>
      <c r="C41" s="87">
        <v>1</v>
      </c>
      <c r="D41" s="87">
        <f>ondernemers_calc!C35/ondernemers_calc!C7</f>
        <v>0.27200000000000002</v>
      </c>
      <c r="E41" s="88" t="s">
        <v>53</v>
      </c>
      <c r="F41" s="39"/>
    </row>
    <row r="42" spans="1:6" ht="12" customHeight="1" x14ac:dyDescent="0.15">
      <c r="A42" s="73" t="s">
        <v>58</v>
      </c>
      <c r="B42" s="74"/>
      <c r="C42" s="89">
        <v>0</v>
      </c>
      <c r="D42" s="89">
        <f>1-D41</f>
        <v>0.72799999999999998</v>
      </c>
      <c r="E42" s="90" t="s">
        <v>53</v>
      </c>
      <c r="F42" s="39"/>
    </row>
    <row r="43" spans="1:6" x14ac:dyDescent="0.15">
      <c r="A43" s="91"/>
      <c r="B43" s="92"/>
      <c r="C43" s="93"/>
      <c r="D43" s="93"/>
      <c r="E43" s="93"/>
      <c r="F43" s="39"/>
    </row>
    <row r="44" spans="1:6" x14ac:dyDescent="0.15">
      <c r="A44" s="94" t="s">
        <v>59</v>
      </c>
      <c r="B44" s="95"/>
      <c r="C44" s="96" t="e">
        <f>C97</f>
        <v>#N/A</v>
      </c>
      <c r="D44" s="96">
        <f>D97</f>
        <v>233681.99865479651</v>
      </c>
      <c r="E44" s="97">
        <f>E97</f>
        <v>200047.52</v>
      </c>
      <c r="F44" s="39"/>
    </row>
    <row r="45" spans="1:6" x14ac:dyDescent="0.15">
      <c r="A45" s="98" t="s">
        <v>60</v>
      </c>
      <c r="B45" s="99"/>
      <c r="C45" s="100" t="e">
        <f>C44/ondernemers_calc!$I$32</f>
        <v>#N/A</v>
      </c>
      <c r="D45" s="100">
        <f>D44/ondernemers_calc!$I$32</f>
        <v>1.9778966552807939</v>
      </c>
      <c r="E45" s="101">
        <f>E44/$B$14</f>
        <v>1.6670626666666666</v>
      </c>
      <c r="F45" s="39"/>
    </row>
    <row r="46" spans="1:6" x14ac:dyDescent="0.15">
      <c r="A46" s="102" t="s">
        <v>61</v>
      </c>
      <c r="B46" s="103"/>
      <c r="C46" s="104" t="e">
        <f>C44/$B$28</f>
        <v>#N/A</v>
      </c>
      <c r="D46" s="104">
        <f>D44/$B$28</f>
        <v>91.287537936036642</v>
      </c>
      <c r="E46" s="105">
        <f>E44/$C$28</f>
        <v>76.941353846153845</v>
      </c>
      <c r="F46" s="39"/>
    </row>
    <row r="47" spans="1:6" x14ac:dyDescent="0.15">
      <c r="A47" s="37"/>
      <c r="B47" s="38"/>
      <c r="C47" s="38"/>
      <c r="D47" s="38"/>
      <c r="E47" s="38"/>
      <c r="F47" s="39"/>
    </row>
    <row r="48" spans="1:6" x14ac:dyDescent="0.15">
      <c r="A48" s="106" t="s">
        <v>62</v>
      </c>
      <c r="B48" s="107"/>
      <c r="C48" s="108">
        <v>1</v>
      </c>
      <c r="D48" s="108">
        <v>2</v>
      </c>
      <c r="E48" s="109">
        <v>3</v>
      </c>
      <c r="F48" s="39"/>
    </row>
    <row r="49" spans="1:8" x14ac:dyDescent="0.15">
      <c r="A49" s="110" t="s">
        <v>63</v>
      </c>
      <c r="B49" s="111">
        <v>1</v>
      </c>
      <c r="C49" s="112" t="e">
        <f>INDEX(ondernemers_calc!$B$79:$D$86,$B49+IF($B$15='Model parameters'!$B$31,0,5),C$48)</f>
        <v>#N/A</v>
      </c>
      <c r="D49" s="112">
        <f>INDEX(ondernemers_calc!$B$79:$D$86,$B49+IF($B$15='Model parameters'!$B$31,0,5),D$48)</f>
        <v>65.105647506272476</v>
      </c>
      <c r="E49" s="113">
        <f>INDEX(ondernemers_calc!$B$79:$D$86,$B49+IF($B$15='Model parameters'!$B$31,0,5),E$48)</f>
        <v>123.60649438612502</v>
      </c>
      <c r="F49" s="39"/>
    </row>
    <row r="50" spans="1:8" x14ac:dyDescent="0.15">
      <c r="A50" s="110" t="s">
        <v>64</v>
      </c>
      <c r="B50" s="111">
        <v>2</v>
      </c>
      <c r="C50" s="112" t="e">
        <f>INDEX(ondernemers_calc!$B$79:$D$86,$B50+IF($B$15='Model parameters'!$B$31,0,5),C$48)</f>
        <v>#N/A</v>
      </c>
      <c r="D50" s="112">
        <f>INDEX(ondernemers_calc!$B$79:$D$86,$B50+IF($B$15='Model parameters'!$B$31,0,5),D$48)</f>
        <v>8.0615383346257694</v>
      </c>
      <c r="E50" s="113">
        <f>INDEX(ondernemers_calc!$B$79:$D$86,$B50+IF($B$15='Model parameters'!$B$31,0,5),E$48)</f>
        <v>9.9422114725578314</v>
      </c>
      <c r="F50" s="39"/>
    </row>
    <row r="51" spans="1:8" x14ac:dyDescent="0.15">
      <c r="A51" s="114" t="s">
        <v>65</v>
      </c>
      <c r="B51" s="115">
        <v>3</v>
      </c>
      <c r="C51" s="116" t="e">
        <f>INDEX(ondernemers_calc!$B$79:$D$86,$B51+IF($B$15='Model parameters'!$B$31,0,5),C$48)</f>
        <v>#N/A</v>
      </c>
      <c r="D51" s="116">
        <f>INDEX(ondernemers_calc!$B$79:$D$86,$B51+IF($B$15='Model parameters'!$B$31,0,5),D$48)</f>
        <v>80.54637017605738</v>
      </c>
      <c r="E51" s="117">
        <f>INDEX(ondernemers_calc!$B$79:$D$86,$B51+IF($B$15='Model parameters'!$B$31,0,5),E$48)</f>
        <v>302.78257699768443</v>
      </c>
      <c r="F51" s="39"/>
    </row>
    <row r="52" spans="1:8" outlineLevel="1" x14ac:dyDescent="0.15">
      <c r="A52" s="118"/>
      <c r="B52" s="119"/>
      <c r="C52" s="120"/>
      <c r="D52" s="120"/>
      <c r="E52" s="120"/>
      <c r="F52" s="39"/>
    </row>
    <row r="53" spans="1:8" outlineLevel="1" x14ac:dyDescent="0.15">
      <c r="A53" s="118"/>
      <c r="B53" s="119"/>
      <c r="C53" s="120"/>
      <c r="D53" s="120"/>
      <c r="E53" s="120"/>
      <c r="F53" s="39"/>
    </row>
    <row r="54" spans="1:8" outlineLevel="1" x14ac:dyDescent="0.15">
      <c r="A54" s="23" t="s">
        <v>66</v>
      </c>
      <c r="B54" s="121"/>
      <c r="C54" s="121"/>
      <c r="D54" s="121"/>
      <c r="E54" s="122"/>
      <c r="F54" s="39"/>
    </row>
    <row r="55" spans="1:8" outlineLevel="2" x14ac:dyDescent="0.15">
      <c r="A55" s="123" t="s">
        <v>67</v>
      </c>
      <c r="B55" s="124"/>
      <c r="C55" s="125"/>
      <c r="D55" s="125"/>
      <c r="E55" s="126"/>
      <c r="F55" s="39"/>
    </row>
    <row r="56" spans="1:8" outlineLevel="2" x14ac:dyDescent="0.15">
      <c r="A56" s="127" t="s">
        <v>68</v>
      </c>
      <c r="B56" s="128">
        <f>INDEX('Model parameters'!$O$14:$O$20,ondernemers_calc!D$20)</f>
        <v>976</v>
      </c>
      <c r="C56" s="129">
        <v>0</v>
      </c>
      <c r="D56" s="129">
        <v>0</v>
      </c>
      <c r="E56" s="130">
        <f>B56</f>
        <v>976</v>
      </c>
      <c r="F56" s="39"/>
    </row>
    <row r="57" spans="1:8" outlineLevel="2" x14ac:dyDescent="0.15">
      <c r="A57" s="127" t="s">
        <v>69</v>
      </c>
      <c r="B57" s="128">
        <f>INDEX('Model parameters'!$P$14:$P$20,ondernemers_calc!$D$20)</f>
        <v>1250</v>
      </c>
      <c r="C57" s="129">
        <f>B57</f>
        <v>1250</v>
      </c>
      <c r="D57" s="129">
        <f>B57</f>
        <v>1250</v>
      </c>
      <c r="E57" s="130">
        <f>$B$57</f>
        <v>1250</v>
      </c>
      <c r="F57" s="39"/>
    </row>
    <row r="58" spans="1:8" outlineLevel="2" x14ac:dyDescent="0.15">
      <c r="A58" s="127" t="s">
        <v>70</v>
      </c>
      <c r="B58" s="131">
        <v>0.04</v>
      </c>
      <c r="C58" s="129">
        <f>(INDEX('Model parameters'!$E$4:$E$10,ondernemers_calc!B$18)+B27)/2*$B$58</f>
        <v>5808.32</v>
      </c>
      <c r="D58" s="129">
        <f>(INDEX('Model parameters'!$E$4:$E$10,ondernemers_calc!C$18)+B27)/2*$B$58</f>
        <v>5808.32</v>
      </c>
      <c r="E58" s="129">
        <f>(ondernemers_calc!I39+C27)/2*$B$58</f>
        <v>3190</v>
      </c>
      <c r="F58" s="39"/>
      <c r="H58" s="34"/>
    </row>
    <row r="59" spans="1:8" outlineLevel="2" x14ac:dyDescent="0.15">
      <c r="A59" s="127" t="s">
        <v>71</v>
      </c>
      <c r="B59" s="132">
        <v>3.2000000000000001E-2</v>
      </c>
      <c r="C59" s="129">
        <f>INDEX('Model parameters'!$E$4:$E$10,ondernemers_calc!B$18)*$B$59</f>
        <v>9293.3119999999999</v>
      </c>
      <c r="D59" s="129">
        <f>INDEX('Model parameters'!$E$4:$E$10,ondernemers_calc!C$18)*$B$59</f>
        <v>9293.3119999999999</v>
      </c>
      <c r="E59" s="130">
        <f>INDEX('Model parameters'!$E$14:$E$20,ondernemers_calc!$D$20)*$B$59</f>
        <v>4624</v>
      </c>
      <c r="F59" s="39"/>
    </row>
    <row r="60" spans="1:8" outlineLevel="2" x14ac:dyDescent="0.15">
      <c r="A60" s="127" t="s">
        <v>72</v>
      </c>
      <c r="B60" s="132"/>
      <c r="C60" s="129">
        <v>0</v>
      </c>
      <c r="D60" s="129">
        <v>0</v>
      </c>
      <c r="E60" s="130">
        <f>'TCO module beleidsmakers'!$E$32</f>
        <v>0</v>
      </c>
      <c r="F60" s="39"/>
    </row>
    <row r="61" spans="1:8" outlineLevel="2" x14ac:dyDescent="0.15">
      <c r="A61" s="127" t="s">
        <v>73</v>
      </c>
      <c r="B61" s="128">
        <f>INDEX('Model parameters'!$Q$14:$Q$20,ondernemers_calc!D$20)</f>
        <v>69</v>
      </c>
      <c r="C61" s="129">
        <f>$B$61</f>
        <v>69</v>
      </c>
      <c r="D61" s="129">
        <f>$B$61</f>
        <v>69</v>
      </c>
      <c r="E61" s="130">
        <f>$B$61</f>
        <v>69</v>
      </c>
      <c r="F61" s="39"/>
    </row>
    <row r="62" spans="1:8" s="138" customFormat="1" outlineLevel="1" x14ac:dyDescent="0.15">
      <c r="A62" s="133" t="s">
        <v>74</v>
      </c>
      <c r="B62" s="134"/>
      <c r="C62" s="135">
        <f>SUM(C56:C61)</f>
        <v>16420.631999999998</v>
      </c>
      <c r="D62" s="135">
        <f>SUM(D56:D61)</f>
        <v>16420.631999999998</v>
      </c>
      <c r="E62" s="136">
        <f>SUM(E56:E61)</f>
        <v>10109</v>
      </c>
      <c r="F62" s="137"/>
    </row>
    <row r="63" spans="1:8" outlineLevel="1" x14ac:dyDescent="0.15">
      <c r="A63" s="139" t="s">
        <v>75</v>
      </c>
      <c r="B63" s="140"/>
      <c r="C63" s="140" t="e">
        <f>IF(C35="Scenario valid",SUM(C62,C74),NA())</f>
        <v>#N/A</v>
      </c>
      <c r="D63" s="140">
        <f>IF(D35="Scenario valid",SUM(D62,D74),NA())</f>
        <v>17355.631999999998</v>
      </c>
      <c r="E63" s="140">
        <f>IF(E35="Scenario valid",SUM(E62,E74),NA())</f>
        <v>11044</v>
      </c>
      <c r="F63" s="39"/>
    </row>
    <row r="64" spans="1:8" outlineLevel="2" x14ac:dyDescent="0.15">
      <c r="A64" s="141" t="s">
        <v>76</v>
      </c>
      <c r="B64" s="142"/>
      <c r="C64" s="143"/>
      <c r="D64" s="143"/>
      <c r="E64" s="144"/>
      <c r="F64" s="39"/>
    </row>
    <row r="65" spans="1:6" outlineLevel="2" x14ac:dyDescent="0.15">
      <c r="A65" s="145" t="s">
        <v>77</v>
      </c>
      <c r="B65" s="146">
        <f>INDEX('Model parameters'!$I$14:$I$20,ondernemers_calc!$D$20)*'TCO module beleidsmakers'!$E$23</f>
        <v>0.61119599999999996</v>
      </c>
      <c r="C65" s="147">
        <v>0</v>
      </c>
      <c r="D65" s="147">
        <v>0</v>
      </c>
      <c r="E65" s="148">
        <f>$B$14*B65</f>
        <v>73343.51999999999</v>
      </c>
      <c r="F65" s="39"/>
    </row>
    <row r="66" spans="1:6" outlineLevel="2" x14ac:dyDescent="0.15">
      <c r="A66" s="145" t="s">
        <v>78</v>
      </c>
      <c r="B66" s="146">
        <f>+IF(B13="gekoeld",INDEX('Model parameters'!$J$14:$J$20,ondernemers_calc!$D$20)*'TCO module beleidsmakers'!$E$23,0)</f>
        <v>0</v>
      </c>
      <c r="C66" s="147">
        <v>0</v>
      </c>
      <c r="D66" s="147">
        <v>0</v>
      </c>
      <c r="E66" s="148">
        <f>B66*ondernemers_calc!$I$35</f>
        <v>0</v>
      </c>
      <c r="F66" s="39"/>
    </row>
    <row r="67" spans="1:6" outlineLevel="2" x14ac:dyDescent="0.15">
      <c r="A67" s="145" t="s">
        <v>79</v>
      </c>
      <c r="B67" s="146">
        <f>ondernemers_calc!I30*ondernemers_calc!I8</f>
        <v>0.16250000000000001</v>
      </c>
      <c r="C67" s="147" t="e">
        <f>IF(C35="Scenario valid",SUM(ondernemers_calc!B$54:B$55),NA())</f>
        <v>#N/A</v>
      </c>
      <c r="D67" s="147">
        <f>IF(D35="Scenario valid",SUM(ondernemers_calc!C$54:C$55),NA())</f>
        <v>69732</v>
      </c>
      <c r="E67" s="148">
        <v>0</v>
      </c>
      <c r="F67" s="39"/>
    </row>
    <row r="68" spans="1:6" outlineLevel="2" x14ac:dyDescent="0.15">
      <c r="A68" s="145" t="s">
        <v>80</v>
      </c>
      <c r="B68" s="146">
        <f>INDEX('Model parameters'!$M$14:$M$20,ondernemers_calc!$D$20)</f>
        <v>3.9199999999999999E-2</v>
      </c>
      <c r="C68" s="147" t="e">
        <f>IF(C35="Scenario valid",$B$68*ondernemers_calc!$I$32,NA())</f>
        <v>#N/A</v>
      </c>
      <c r="D68" s="147">
        <f>IF(D35="Scenario valid",$B$68*ondernemers_calc!$I$32,NA())</f>
        <v>4631.3513513513517</v>
      </c>
      <c r="E68" s="148">
        <f>IF(E35="Scenario valid",$B$68*$B$14,NA())</f>
        <v>4704</v>
      </c>
      <c r="F68" s="39"/>
    </row>
    <row r="69" spans="1:6" outlineLevel="2" x14ac:dyDescent="0.15">
      <c r="A69" s="145" t="s">
        <v>81</v>
      </c>
      <c r="B69" s="146">
        <f>INDEX('Model parameters'!$L$14:$L$20,ondernemers_calc!$D$20)</f>
        <v>8.0100000000000005E-2</v>
      </c>
      <c r="C69" s="147" t="e">
        <f>IF(C35="Scenario valid",ondernemers_calc!B$53,NA())</f>
        <v>#N/A</v>
      </c>
      <c r="D69" s="147">
        <f>IF(D35="Scenario valid",ondernemers_calc!C$53,NA())</f>
        <v>3596.149806949807</v>
      </c>
      <c r="E69" s="148">
        <f>$B$69*$B$14</f>
        <v>9612</v>
      </c>
      <c r="F69" s="39"/>
    </row>
    <row r="70" spans="1:6" outlineLevel="2" x14ac:dyDescent="0.15">
      <c r="A70" s="145" t="s">
        <v>82</v>
      </c>
      <c r="B70" s="146"/>
      <c r="C70" s="147">
        <f>beleidsmakers_calc!H37</f>
        <v>5000</v>
      </c>
      <c r="D70" s="147">
        <f>beleidsmakers_calc!H37</f>
        <v>5000</v>
      </c>
      <c r="E70" s="148">
        <f>beleidsmakers_calc!H38</f>
        <v>1500</v>
      </c>
      <c r="F70" s="39"/>
    </row>
    <row r="71" spans="1:6" outlineLevel="2" x14ac:dyDescent="0.15">
      <c r="A71" s="145" t="s">
        <v>83</v>
      </c>
      <c r="B71" s="146">
        <f>IF(B13="gekoeld",INDEX('Model parameters'!$N$14:$N$20,ondernemers_calc!$D$20),0)</f>
        <v>0</v>
      </c>
      <c r="C71" s="147">
        <f>$B$71*$B$28</f>
        <v>0</v>
      </c>
      <c r="D71" s="147">
        <f>$B$71*$B$28</f>
        <v>0</v>
      </c>
      <c r="E71" s="148">
        <f>$B$71*$C$28</f>
        <v>0</v>
      </c>
      <c r="F71" s="39"/>
    </row>
    <row r="72" spans="1:6" outlineLevel="2" x14ac:dyDescent="0.15">
      <c r="A72" s="127" t="s">
        <v>84</v>
      </c>
      <c r="B72" s="146"/>
      <c r="C72" s="147">
        <v>0</v>
      </c>
      <c r="D72" s="147">
        <v>0</v>
      </c>
      <c r="E72" s="148">
        <f>'TCO module beleidsmakers'!$D$78</f>
        <v>0</v>
      </c>
      <c r="F72" s="39"/>
    </row>
    <row r="73" spans="1:6" outlineLevel="2" x14ac:dyDescent="0.15">
      <c r="A73" s="127" t="s">
        <v>85</v>
      </c>
      <c r="B73" s="146"/>
      <c r="C73" s="147" t="e">
        <f>'TCO module beleidsmakers'!$E$34*C$49</f>
        <v>#N/A</v>
      </c>
      <c r="D73" s="147">
        <f>'TCO module beleidsmakers'!$E$34*D$49</f>
        <v>0</v>
      </c>
      <c r="E73" s="147">
        <f>'TCO module beleidsmakers'!$E$34*E$49</f>
        <v>0</v>
      </c>
      <c r="F73" s="39"/>
    </row>
    <row r="74" spans="1:6" outlineLevel="2" x14ac:dyDescent="0.15">
      <c r="A74" s="145" t="s">
        <v>86</v>
      </c>
      <c r="B74" s="149">
        <f>INDEX('Model parameters'!$R$14:$R$20,ondernemers_calc!$D$20)</f>
        <v>935</v>
      </c>
      <c r="C74" s="147">
        <f>$B$74</f>
        <v>935</v>
      </c>
      <c r="D74" s="147">
        <f>$B$74</f>
        <v>935</v>
      </c>
      <c r="E74" s="148">
        <f>$B$74</f>
        <v>935</v>
      </c>
      <c r="F74" s="39"/>
    </row>
    <row r="75" spans="1:6" s="138" customFormat="1" outlineLevel="1" x14ac:dyDescent="0.15">
      <c r="A75" s="150" t="s">
        <v>87</v>
      </c>
      <c r="B75" s="151"/>
      <c r="C75" s="152" t="e">
        <f>SUM(C65:C74)</f>
        <v>#N/A</v>
      </c>
      <c r="D75" s="152">
        <f>SUM(D65:D74)</f>
        <v>83894.501158301151</v>
      </c>
      <c r="E75" s="153">
        <f>SUM(E65:E74)</f>
        <v>90094.51999999999</v>
      </c>
      <c r="F75" s="137"/>
    </row>
    <row r="76" spans="1:6" outlineLevel="1" x14ac:dyDescent="0.15">
      <c r="A76" s="154" t="s">
        <v>88</v>
      </c>
      <c r="B76" s="140"/>
      <c r="C76" s="140">
        <f>SUM(C66+C65)</f>
        <v>0</v>
      </c>
      <c r="D76" s="140">
        <f>SUM(D66+D65)</f>
        <v>0</v>
      </c>
      <c r="E76" s="140">
        <f>SUM(E66+E65)</f>
        <v>73343.51999999999</v>
      </c>
      <c r="F76" s="39"/>
    </row>
    <row r="77" spans="1:6" s="138" customFormat="1" outlineLevel="1" x14ac:dyDescent="0.15">
      <c r="A77" s="155" t="s">
        <v>89</v>
      </c>
      <c r="B77" s="146"/>
      <c r="C77" s="147"/>
      <c r="D77" s="147"/>
      <c r="E77" s="148"/>
      <c r="F77" s="137"/>
    </row>
    <row r="78" spans="1:6" outlineLevel="2" x14ac:dyDescent="0.15">
      <c r="A78" s="145" t="s">
        <v>90</v>
      </c>
      <c r="B78" s="156"/>
      <c r="C78" s="147">
        <f>ondernemers_calc!$I$41</f>
        <v>37664.771849436554</v>
      </c>
      <c r="D78" s="147">
        <f>ondernemers_calc!$I$41</f>
        <v>37664.771849436554</v>
      </c>
      <c r="E78" s="149">
        <f>ondernemers_calc!$I$40</f>
        <v>25900</v>
      </c>
      <c r="F78" s="39"/>
    </row>
    <row r="79" spans="1:6" outlineLevel="2" x14ac:dyDescent="0.15">
      <c r="A79" s="145" t="s">
        <v>91</v>
      </c>
      <c r="B79" s="156"/>
      <c r="C79" s="157">
        <f>-ondernemers_calc!$I$42</f>
        <v>0</v>
      </c>
      <c r="D79" s="157">
        <f>-ondernemers_calc!$I$42</f>
        <v>0</v>
      </c>
      <c r="E79" s="158">
        <f>-ondernemers_calc!$I$43</f>
        <v>0</v>
      </c>
      <c r="F79" s="39"/>
    </row>
    <row r="80" spans="1:6" s="163" customFormat="1" outlineLevel="2" x14ac:dyDescent="0.15">
      <c r="A80" s="159" t="s">
        <v>92</v>
      </c>
      <c r="B80" s="160"/>
      <c r="C80" s="161">
        <f>SUM(C78,C79)</f>
        <v>37664.771849436554</v>
      </c>
      <c r="D80" s="161">
        <f>SUM(D78,D79)</f>
        <v>37664.771849436554</v>
      </c>
      <c r="E80" s="161">
        <f>SUM(E78,E79)</f>
        <v>25900</v>
      </c>
      <c r="F80" s="162"/>
    </row>
    <row r="81" spans="1:6" outlineLevel="1" x14ac:dyDescent="0.15">
      <c r="A81" s="139" t="s">
        <v>88</v>
      </c>
      <c r="B81" s="140"/>
      <c r="C81" s="140" t="e">
        <f>SUM(C69+C68)</f>
        <v>#N/A</v>
      </c>
      <c r="D81" s="140">
        <f>SUM(D69+D68)</f>
        <v>8227.5011583011583</v>
      </c>
      <c r="E81" s="140">
        <f>SUM(E69+E68)</f>
        <v>14316</v>
      </c>
      <c r="F81" s="39"/>
    </row>
    <row r="82" spans="1:6" outlineLevel="2" x14ac:dyDescent="0.15">
      <c r="A82" s="164" t="s">
        <v>93</v>
      </c>
      <c r="B82" s="165"/>
      <c r="C82" s="143"/>
      <c r="D82" s="143"/>
      <c r="E82" s="144"/>
      <c r="F82" s="39"/>
    </row>
    <row r="83" spans="1:6" outlineLevel="2" x14ac:dyDescent="0.15">
      <c r="A83" s="145" t="s">
        <v>94</v>
      </c>
      <c r="B83" s="166"/>
      <c r="C83" s="147">
        <f>($E$30)/$B$26</f>
        <v>564</v>
      </c>
      <c r="D83" s="147">
        <f>($E$30)/$B$26</f>
        <v>564</v>
      </c>
      <c r="E83" s="148">
        <v>0</v>
      </c>
      <c r="F83" s="39"/>
    </row>
    <row r="84" spans="1:6" outlineLevel="2" x14ac:dyDescent="0.15">
      <c r="A84" s="145" t="s">
        <v>95</v>
      </c>
      <c r="B84" s="166"/>
      <c r="C84" s="167">
        <f>SUMIF('Model parameters'!$A$36:$A$45,ondernemers_calc!B$30,'Model parameters'!$K$36:$K$45)</f>
        <v>165</v>
      </c>
      <c r="D84" s="167">
        <f>SUMIF('Model parameters'!$A$36:$A$45,ondernemers_calc!C$30,'Model parameters'!$K$36:$K$45)</f>
        <v>165</v>
      </c>
      <c r="E84" s="168">
        <v>0</v>
      </c>
      <c r="F84" s="39"/>
    </row>
    <row r="85" spans="1:6" outlineLevel="1" x14ac:dyDescent="0.15">
      <c r="A85" s="159" t="s">
        <v>96</v>
      </c>
      <c r="B85" s="169"/>
      <c r="C85" s="161" t="e">
        <f>IF(C35="Scenario valid",SUM(C83:C84),NA())</f>
        <v>#N/A</v>
      </c>
      <c r="D85" s="161">
        <f>IF(D35="Scenario valid",SUM(D83:D84),NA())</f>
        <v>729</v>
      </c>
      <c r="E85" s="170">
        <f>IF(E35="Scenario valid",SUM(E83:E84),NA())</f>
        <v>0</v>
      </c>
      <c r="F85" s="39"/>
    </row>
    <row r="86" spans="1:6" outlineLevel="1" x14ac:dyDescent="0.15">
      <c r="A86" s="139"/>
      <c r="B86" s="140"/>
      <c r="C86" s="140"/>
      <c r="D86" s="140"/>
      <c r="E86" s="140"/>
      <c r="F86" s="171"/>
    </row>
    <row r="87" spans="1:6" outlineLevel="1" x14ac:dyDescent="0.15">
      <c r="A87" s="141" t="s">
        <v>97</v>
      </c>
      <c r="B87" s="172"/>
      <c r="C87" s="173" t="e">
        <f>SUM(C$62,C$75,C80,C$85)</f>
        <v>#N/A</v>
      </c>
      <c r="D87" s="173">
        <f>SUM(D$62,D$75,D80,D$85)</f>
        <v>138708.90500773769</v>
      </c>
      <c r="E87" s="173">
        <f>SUM(E$62,E$75,E80,E$85)</f>
        <v>126103.51999999999</v>
      </c>
      <c r="F87" s="39"/>
    </row>
    <row r="88" spans="1:6" ht="11.25" customHeight="1" outlineLevel="1" x14ac:dyDescent="0.15">
      <c r="A88" s="174" t="s">
        <v>98</v>
      </c>
      <c r="B88" s="166"/>
      <c r="C88" s="100" t="e">
        <f>C87/ondernemers_calc!$I$32</f>
        <v>#N/A</v>
      </c>
      <c r="D88" s="100">
        <f>D87/ondernemers_calc!$I$32</f>
        <v>1.1740394247386947</v>
      </c>
      <c r="E88" s="101">
        <f>E87/$B$14</f>
        <v>1.0508626666666665</v>
      </c>
      <c r="F88" s="39"/>
    </row>
    <row r="89" spans="1:6" outlineLevel="1" x14ac:dyDescent="0.15">
      <c r="A89" s="150" t="s">
        <v>99</v>
      </c>
      <c r="B89" s="169"/>
      <c r="C89" s="104" t="e">
        <f>C87/$B$28</f>
        <v>#N/A</v>
      </c>
      <c r="D89" s="104">
        <f>D87/$B$28</f>
        <v>54.186434987939762</v>
      </c>
      <c r="E89" s="105">
        <f>E87/$C$28</f>
        <v>48.50135384615384</v>
      </c>
      <c r="F89" s="39"/>
    </row>
    <row r="90" spans="1:6" outlineLevel="1" x14ac:dyDescent="0.15">
      <c r="A90" s="175"/>
      <c r="B90" s="176"/>
      <c r="C90" s="140"/>
      <c r="D90" s="140"/>
      <c r="E90" s="140"/>
      <c r="F90" s="39"/>
    </row>
    <row r="91" spans="1:6" outlineLevel="2" x14ac:dyDescent="0.15">
      <c r="A91" s="141" t="s">
        <v>100</v>
      </c>
      <c r="B91" s="165"/>
      <c r="C91" s="143"/>
      <c r="D91" s="143"/>
      <c r="E91" s="144"/>
      <c r="F91" s="39"/>
    </row>
    <row r="92" spans="1:6" outlineLevel="2" x14ac:dyDescent="0.15">
      <c r="A92" s="145" t="s">
        <v>101</v>
      </c>
      <c r="B92" s="177">
        <v>27.13</v>
      </c>
      <c r="C92" s="147">
        <f>$B92*($C$28+ondernemers_calc!$D$6*ondernemers_calc!$B$48)</f>
        <v>70538</v>
      </c>
      <c r="D92" s="147">
        <f>$B92*($C$28+ondernemers_calc!$D$6*ondernemers_calc!$C$48)</f>
        <v>90598.453960784318</v>
      </c>
      <c r="E92" s="148">
        <f>$B92*$C$28</f>
        <v>70538</v>
      </c>
      <c r="F92" s="39"/>
    </row>
    <row r="93" spans="1:6" outlineLevel="2" x14ac:dyDescent="0.15">
      <c r="A93" s="145" t="s">
        <v>102</v>
      </c>
      <c r="B93" s="177">
        <v>0.85</v>
      </c>
      <c r="C93" s="147">
        <f>$B93*($C$28+ondernemers_calc!$D$6*ondernemers_calc!$B$48)</f>
        <v>2210</v>
      </c>
      <c r="D93" s="147">
        <f>$B93*($C$28+ondernemers_calc!$D$6*ondernemers_calc!$C$48)</f>
        <v>2838.5066666666667</v>
      </c>
      <c r="E93" s="148">
        <f>$B93*$C$28</f>
        <v>2210</v>
      </c>
      <c r="F93" s="39"/>
    </row>
    <row r="94" spans="1:6" outlineLevel="2" x14ac:dyDescent="0.15">
      <c r="A94" s="145" t="s">
        <v>103</v>
      </c>
      <c r="B94" s="177">
        <v>0.46</v>
      </c>
      <c r="C94" s="147">
        <f>$B94*($C$28+ondernemers_calc!$D$6*ondernemers_calc!$B$48)</f>
        <v>1196</v>
      </c>
      <c r="D94" s="147">
        <f>$B94*($C$28+ondernemers_calc!$D$6*ondernemers_calc!$C$48)</f>
        <v>1536.1330196078432</v>
      </c>
      <c r="E94" s="148">
        <f>$B94*$C$28</f>
        <v>1196</v>
      </c>
      <c r="F94" s="39"/>
    </row>
    <row r="95" spans="1:6" outlineLevel="1" x14ac:dyDescent="0.15">
      <c r="A95" s="150" t="s">
        <v>104</v>
      </c>
      <c r="B95" s="178"/>
      <c r="C95" s="152">
        <f>SUM(C92:C94)</f>
        <v>73944</v>
      </c>
      <c r="D95" s="152">
        <f>SUM(D92:D94)</f>
        <v>94973.093647058835</v>
      </c>
      <c r="E95" s="153">
        <f>SUM(E92:E94)</f>
        <v>73944</v>
      </c>
      <c r="F95" s="39"/>
    </row>
    <row r="96" spans="1:6" outlineLevel="1" x14ac:dyDescent="0.15">
      <c r="A96" s="37"/>
      <c r="B96" s="38"/>
      <c r="C96" s="179"/>
      <c r="D96" s="179"/>
      <c r="E96" s="179"/>
      <c r="F96" s="39"/>
    </row>
    <row r="97" spans="1:6" outlineLevel="1" x14ac:dyDescent="0.15">
      <c r="A97" s="123" t="s">
        <v>105</v>
      </c>
      <c r="B97" s="180"/>
      <c r="C97" s="173" t="e">
        <f>SUM(C$87,C$95,)</f>
        <v>#N/A</v>
      </c>
      <c r="D97" s="173">
        <f>SUM(D$87,D$95,)</f>
        <v>233681.99865479651</v>
      </c>
      <c r="E97" s="181">
        <f>SUM(E$87,E$95,)</f>
        <v>200047.52</v>
      </c>
      <c r="F97" s="39"/>
    </row>
    <row r="98" spans="1:6" outlineLevel="1" x14ac:dyDescent="0.15">
      <c r="A98" s="182" t="s">
        <v>106</v>
      </c>
      <c r="B98" s="183"/>
      <c r="C98" s="184" t="e">
        <f>C97/ondernemers_calc!$I$32</f>
        <v>#N/A</v>
      </c>
      <c r="D98" s="184">
        <f>D97/ondernemers_calc!$I$32</f>
        <v>1.9778966552807939</v>
      </c>
      <c r="E98" s="185">
        <f>E97/$B$14</f>
        <v>1.6670626666666666</v>
      </c>
      <c r="F98" s="39"/>
    </row>
    <row r="99" spans="1:6" outlineLevel="1" x14ac:dyDescent="0.15">
      <c r="A99" s="133" t="s">
        <v>107</v>
      </c>
      <c r="B99" s="186"/>
      <c r="C99" s="187" t="e">
        <f>C97/$B$28</f>
        <v>#N/A</v>
      </c>
      <c r="D99" s="187">
        <f>D97/$B$28</f>
        <v>91.287537936036642</v>
      </c>
      <c r="E99" s="188">
        <f>E97/$C$28</f>
        <v>76.941353846153845</v>
      </c>
      <c r="F99" s="39"/>
    </row>
    <row r="100" spans="1:6" ht="11.45" customHeight="1" outlineLevel="1" x14ac:dyDescent="0.15">
      <c r="A100" s="37"/>
      <c r="B100" s="38"/>
      <c r="C100" s="179"/>
      <c r="D100" s="179"/>
      <c r="E100" s="179"/>
      <c r="F100" s="39"/>
    </row>
  </sheetData>
  <mergeCells count="2">
    <mergeCell ref="B4:D7"/>
    <mergeCell ref="B24:C24"/>
  </mergeCells>
  <conditionalFormatting sqref="C35:E35">
    <cfRule type="containsText" dxfId="12" priority="2" operator="containsText" text="Vehicle technology insufficient">
      <formula>NOT(ISERROR(SEARCH("Vehicle technology insufficient",C35)))</formula>
    </cfRule>
  </conditionalFormatting>
  <conditionalFormatting sqref="H13:I15">
    <cfRule type="colorScale" priority="3">
      <colorScale>
        <cfvo type="min"/>
        <cfvo type="max"/>
        <color rgb="FFF8696B"/>
        <color rgb="FFFCFCFF"/>
      </colorScale>
    </cfRule>
  </conditionalFormatting>
  <dataValidations count="6">
    <dataValidation type="decimal" operator="greaterThan" allowBlank="1" showInputMessage="1" showErrorMessage="1" sqref="B21 E21:E22 E27" xr:uid="{00000000-0002-0000-0100-000002000000}">
      <formula1>0</formula1>
      <formula2>0</formula2>
    </dataValidation>
    <dataValidation type="whole" showInputMessage="1" showErrorMessage="1" promptTitle="Productive hours" prompt="Default values is 2600" sqref="C28" xr:uid="{00000000-0002-0000-0100-000003000000}">
      <formula1>1</formula1>
      <formula2>3500</formula2>
    </dataValidation>
    <dataValidation type="whole" allowBlank="1" showInputMessage="1" showErrorMessage="1" sqref="B14 B16" xr:uid="{00000000-0002-0000-0100-000004000000}">
      <formula1>1</formula1>
      <formula2>E20</formula2>
    </dataValidation>
    <dataValidation type="whole" allowBlank="1" showInputMessage="1" showErrorMessage="1" sqref="B17" xr:uid="{00000000-0002-0000-0100-000005000000}">
      <formula1>1</formula1>
      <formula2>E22</formula2>
    </dataValidation>
    <dataValidation type="whole" allowBlank="1" showInputMessage="1" showErrorMessage="1" sqref="B18" xr:uid="{00000000-0002-0000-0100-000006000000}">
      <formula1>1</formula1>
      <formula2>E22</formula2>
    </dataValidation>
    <dataValidation type="decimal" showInputMessage="1" showErrorMessage="1" promptTitle="Default value" sqref="B27:C27" xr:uid="{00000000-0002-0000-0100-000007000000}">
      <formula1>1</formula1>
      <formula2>90000000</formula2>
    </dataValidation>
  </dataValidations>
  <pageMargins left="0.7" right="0.7" top="0.75" bottom="0.75" header="0.51180555555555496" footer="0.51180555555555496"/>
  <pageSetup paperSize="8" firstPageNumber="0" fitToHeight="0" orientation="landscape" horizontalDpi="300" verticalDpi="300"/>
  <drawing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0000000}">
          <x14:formula1>
            <xm:f>'Model parameters'!$A$31:$A$32</xm:f>
          </x14:formula1>
          <x14:formula2>
            <xm:f>0</xm:f>
          </x14:formula2>
          <xm:sqref>B13</xm:sqref>
        </x14:dataValidation>
        <x14:dataValidation type="list" allowBlank="1" showInputMessage="1" showErrorMessage="1" xr:uid="{00000000-0002-0000-0100-000001000000}">
          <x14:formula1>
            <xm:f>'Model parameters'!$B$31:$B$32</xm:f>
          </x14:formula1>
          <x14:formula2>
            <xm:f>0</xm:f>
          </x14:formula2>
          <xm:sqref>B15</xm:sqref>
        </x14:dataValidation>
        <x14:dataValidation type="list" allowBlank="1" showInputMessage="1" showErrorMessage="1" xr:uid="{00000000-0002-0000-0100-000008000000}">
          <x14:formula1>
            <xm:f>'Model parameters'!$A$77:$A$83</xm:f>
          </x14:formula1>
          <x14:formula2>
            <xm:f>0</xm:f>
          </x14:formula2>
          <xm:sqref>B12</xm:sqref>
        </x14:dataValidation>
        <x14:dataValidation type="list" operator="greaterThan" allowBlank="1" showInputMessage="1" showErrorMessage="1" xr:uid="{00000000-0002-0000-0100-000009000000}">
          <x14:formula1>
            <xm:f>ondernemers_calc!$E$21:$E$23</xm:f>
          </x14:formula1>
          <x14:formula2>
            <xm:f>0</xm:f>
          </x14:formula2>
          <xm:sqref>E12</xm:sqref>
        </x14:dataValidation>
        <x14:dataValidation type="list" allowBlank="1" showInputMessage="1" showErrorMessage="1" xr:uid="{00000000-0002-0000-0100-00000A000000}">
          <x14:formula1>
            <xm:f>'Model parameters'!#REF!</xm:f>
          </x14:formula1>
          <x14:formula2>
            <xm:f>0</xm:f>
          </x14:formula2>
          <xm:sqref>B32</xm:sqref>
        </x14:dataValidation>
        <x14:dataValidation type="list" allowBlank="1" showInputMessage="1" showErrorMessage="1" xr:uid="{00000000-0002-0000-0100-00000B000000}">
          <x14:formula1>
            <xm:f>'Model parameters'!B$49:B$53</xm:f>
          </x14:formula1>
          <x14:formula2>
            <xm:f>0</xm:f>
          </x14:formula2>
          <xm:sqref>E13</xm:sqref>
        </x14:dataValidation>
        <x14:dataValidation type="list" allowBlank="1" showInputMessage="1" showErrorMessage="1" xr:uid="{00000000-0002-0000-0100-00000C000000}">
          <x14:formula1>
            <xm:f>'Model parameters'!C$49:C$53</xm:f>
          </x14:formula1>
          <x14:formula2>
            <xm:f>0</xm:f>
          </x14:formula2>
          <xm:sqref>E14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B050"/>
    <pageSetUpPr fitToPage="1"/>
  </sheetPr>
  <dimension ref="A1:AMJ111"/>
  <sheetViews>
    <sheetView topLeftCell="A16" zoomScale="110" zoomScaleNormal="110" workbookViewId="0">
      <selection activeCell="E23" sqref="E23"/>
    </sheetView>
  </sheetViews>
  <sheetFormatPr defaultColWidth="9.140625" defaultRowHeight="10.5" outlineLevelRow="2" x14ac:dyDescent="0.15"/>
  <cols>
    <col min="1" max="1" width="42.5703125" style="3" customWidth="1"/>
    <col min="2" max="2" width="30.140625" style="3" customWidth="1"/>
    <col min="3" max="5" width="30.5703125" style="3" customWidth="1"/>
    <col min="6" max="6" width="31" style="3" customWidth="1"/>
    <col min="7" max="1024" width="9.140625" style="3"/>
  </cols>
  <sheetData>
    <row r="1" spans="1:6" x14ac:dyDescent="0.15">
      <c r="A1" s="4"/>
      <c r="B1" s="5"/>
      <c r="C1" s="5"/>
      <c r="D1" s="5"/>
      <c r="E1" s="5"/>
      <c r="F1" s="6"/>
    </row>
    <row r="2" spans="1:6" x14ac:dyDescent="0.15">
      <c r="A2" s="7"/>
      <c r="B2" s="8"/>
      <c r="C2" s="8"/>
      <c r="D2" s="8"/>
      <c r="E2" s="8"/>
      <c r="F2" s="9"/>
    </row>
    <row r="3" spans="1:6" x14ac:dyDescent="0.15">
      <c r="A3" s="7"/>
      <c r="B3" s="8" t="s">
        <v>0</v>
      </c>
      <c r="C3" s="8"/>
      <c r="D3" s="8"/>
      <c r="E3" s="8"/>
      <c r="F3" s="9"/>
    </row>
    <row r="4" spans="1:6" ht="10.5" customHeight="1" x14ac:dyDescent="0.15">
      <c r="A4" s="7"/>
      <c r="B4" s="565" t="s">
        <v>1</v>
      </c>
      <c r="C4" s="565"/>
      <c r="D4" s="565"/>
      <c r="E4" s="8"/>
      <c r="F4" s="9"/>
    </row>
    <row r="5" spans="1:6" x14ac:dyDescent="0.15">
      <c r="A5" s="7"/>
      <c r="B5" s="565"/>
      <c r="C5" s="565"/>
      <c r="D5" s="565"/>
      <c r="E5" s="8"/>
      <c r="F5" s="9"/>
    </row>
    <row r="6" spans="1:6" x14ac:dyDescent="0.15">
      <c r="A6" s="7"/>
      <c r="B6" s="565"/>
      <c r="C6" s="565"/>
      <c r="D6" s="565"/>
      <c r="E6" s="8"/>
      <c r="F6" s="9"/>
    </row>
    <row r="7" spans="1:6" x14ac:dyDescent="0.15">
      <c r="A7" s="7"/>
      <c r="B7" s="565"/>
      <c r="C7" s="565"/>
      <c r="D7" s="565"/>
      <c r="E7" s="8"/>
      <c r="F7" s="9"/>
    </row>
    <row r="8" spans="1:6" x14ac:dyDescent="0.15">
      <c r="A8" s="10"/>
      <c r="B8" s="11"/>
      <c r="C8" s="11"/>
      <c r="D8" s="11"/>
      <c r="E8" s="11"/>
      <c r="F8" s="12"/>
    </row>
    <row r="9" spans="1:6" s="192" customFormat="1" x14ac:dyDescent="0.15">
      <c r="A9" s="189" t="s">
        <v>108</v>
      </c>
      <c r="B9" s="190" t="s">
        <v>3</v>
      </c>
      <c r="C9" s="15">
        <v>44095</v>
      </c>
      <c r="D9" s="190"/>
      <c r="E9" s="190"/>
      <c r="F9" s="191"/>
    </row>
    <row r="10" spans="1:6" s="192" customFormat="1" x14ac:dyDescent="0.15">
      <c r="A10" s="193" t="s">
        <v>56</v>
      </c>
      <c r="B10" s="19" t="s">
        <v>4</v>
      </c>
      <c r="C10" s="19"/>
      <c r="D10" s="19"/>
      <c r="E10" s="19"/>
      <c r="F10" s="194"/>
    </row>
    <row r="11" spans="1:6" x14ac:dyDescent="0.15">
      <c r="A11" s="23" t="s">
        <v>5</v>
      </c>
      <c r="B11" s="24"/>
      <c r="C11" s="195"/>
      <c r="D11" s="23" t="s">
        <v>24</v>
      </c>
      <c r="E11" s="24"/>
      <c r="F11" s="25"/>
    </row>
    <row r="12" spans="1:6" ht="10.5" customHeight="1" x14ac:dyDescent="0.15">
      <c r="A12" s="196" t="s">
        <v>6</v>
      </c>
      <c r="B12" s="197" t="s">
        <v>7</v>
      </c>
      <c r="C12" s="198"/>
      <c r="D12" s="199"/>
      <c r="E12" s="200" t="s">
        <v>109</v>
      </c>
      <c r="F12" s="201" t="s">
        <v>110</v>
      </c>
    </row>
    <row r="13" spans="1:6" ht="10.5" customHeight="1" x14ac:dyDescent="0.15">
      <c r="A13" s="29" t="s">
        <v>10</v>
      </c>
      <c r="B13" s="202" t="s">
        <v>11</v>
      </c>
      <c r="C13" s="39"/>
      <c r="D13" s="29" t="s">
        <v>36</v>
      </c>
      <c r="E13" s="202">
        <v>7</v>
      </c>
      <c r="F13" s="203">
        <v>7</v>
      </c>
    </row>
    <row r="14" spans="1:6" ht="10.5" customHeight="1" x14ac:dyDescent="0.15">
      <c r="A14" s="29" t="s">
        <v>14</v>
      </c>
      <c r="B14" s="202">
        <v>35000</v>
      </c>
      <c r="C14" s="52" t="s">
        <v>15</v>
      </c>
      <c r="D14" s="29" t="s">
        <v>38</v>
      </c>
      <c r="E14" s="202"/>
      <c r="F14" s="203"/>
    </row>
    <row r="15" spans="1:6" ht="10.5" customHeight="1" x14ac:dyDescent="0.15">
      <c r="A15" s="29" t="s">
        <v>17</v>
      </c>
      <c r="B15" s="202" t="s">
        <v>18</v>
      </c>
      <c r="C15" s="52"/>
      <c r="D15" s="54"/>
      <c r="E15" s="38"/>
      <c r="F15" s="39"/>
    </row>
    <row r="16" spans="1:6" ht="10.5" customHeight="1" x14ac:dyDescent="0.15">
      <c r="A16" s="37"/>
      <c r="B16" s="38"/>
      <c r="C16" s="39"/>
      <c r="D16" s="29" t="s">
        <v>8</v>
      </c>
      <c r="E16" s="202"/>
      <c r="F16" s="52" t="s">
        <v>9</v>
      </c>
    </row>
    <row r="17" spans="1:8" ht="10.5" customHeight="1" x14ac:dyDescent="0.15">
      <c r="A17" s="66"/>
      <c r="B17" s="67"/>
      <c r="C17" s="162"/>
      <c r="D17" s="204" t="s">
        <v>12</v>
      </c>
      <c r="E17" s="30"/>
      <c r="F17" s="205"/>
    </row>
    <row r="18" spans="1:8" ht="10.5" customHeight="1" x14ac:dyDescent="0.15">
      <c r="A18" s="37"/>
      <c r="B18" s="38"/>
      <c r="C18" s="38"/>
      <c r="D18" s="206"/>
      <c r="E18" s="207"/>
      <c r="F18" s="205"/>
    </row>
    <row r="19" spans="1:8" x14ac:dyDescent="0.15">
      <c r="A19" s="23" t="s">
        <v>111</v>
      </c>
      <c r="B19" s="40"/>
      <c r="C19" s="24"/>
      <c r="D19" s="24"/>
      <c r="E19" s="24"/>
      <c r="F19" s="25" t="s">
        <v>56</v>
      </c>
    </row>
    <row r="20" spans="1:8" x14ac:dyDescent="0.15">
      <c r="A20" s="208"/>
      <c r="B20" s="209" t="s">
        <v>112</v>
      </c>
      <c r="C20" s="210"/>
      <c r="D20" s="211"/>
      <c r="E20" s="121" t="s">
        <v>113</v>
      </c>
      <c r="F20" s="25" t="s">
        <v>56</v>
      </c>
    </row>
    <row r="21" spans="1:8" x14ac:dyDescent="0.15">
      <c r="A21" s="26"/>
      <c r="B21" s="212"/>
      <c r="C21" s="213"/>
      <c r="D21" s="45"/>
      <c r="E21" s="43"/>
      <c r="F21" s="28"/>
    </row>
    <row r="22" spans="1:8" ht="10.5" customHeight="1" x14ac:dyDescent="0.15">
      <c r="A22" s="29"/>
      <c r="B22" s="214" t="s">
        <v>27</v>
      </c>
      <c r="C22" s="58"/>
      <c r="D22" s="37"/>
      <c r="E22" s="47" t="s">
        <v>114</v>
      </c>
      <c r="F22" s="39"/>
    </row>
    <row r="23" spans="1:8" ht="10.5" customHeight="1" x14ac:dyDescent="0.15">
      <c r="A23" s="64" t="s">
        <v>6</v>
      </c>
      <c r="B23" s="215" t="str">
        <f>C43</f>
        <v>Trekker-oplegger</v>
      </c>
      <c r="C23" s="216"/>
      <c r="D23" s="217" t="s">
        <v>115</v>
      </c>
      <c r="E23" s="218">
        <f>IF(ISBLANK('TCO module ondernemers'!$B$21),'Model parameters'!$B$92,'TCO module ondernemers'!$B$21)+E25</f>
        <v>1.9219999999999999</v>
      </c>
      <c r="F23" s="52" t="s">
        <v>116</v>
      </c>
    </row>
    <row r="24" spans="1:8" x14ac:dyDescent="0.15">
      <c r="A24" s="29" t="s">
        <v>29</v>
      </c>
      <c r="B24" s="219"/>
      <c r="C24" s="220" t="str">
        <f>"default: "&amp;TEXT(INDEX('Model parameters'!$E$4:$E$10,beleidsmakers_calc!$B$17),"€ #.##0")</f>
        <v>default: € 290.416</v>
      </c>
      <c r="D24" s="217" t="s">
        <v>117</v>
      </c>
      <c r="E24" s="221"/>
      <c r="F24" s="52" t="s">
        <v>118</v>
      </c>
    </row>
    <row r="25" spans="1:8" ht="10.5" customHeight="1" x14ac:dyDescent="0.15">
      <c r="A25" s="29" t="s">
        <v>31</v>
      </c>
      <c r="B25" s="219"/>
      <c r="C25" s="220"/>
      <c r="D25" s="222" t="s">
        <v>119</v>
      </c>
      <c r="E25" s="218">
        <f>0.536*(1+E24)</f>
        <v>0.53600000000000003</v>
      </c>
      <c r="F25" s="52" t="s">
        <v>116</v>
      </c>
    </row>
    <row r="26" spans="1:8" x14ac:dyDescent="0.15">
      <c r="A26" s="64" t="s">
        <v>33</v>
      </c>
      <c r="B26" s="223">
        <f>beleidsmakers_calc!H13-B25</f>
        <v>290416</v>
      </c>
      <c r="C26" s="220"/>
      <c r="D26" s="224"/>
      <c r="E26" s="225"/>
      <c r="F26" s="226"/>
    </row>
    <row r="27" spans="1:8" x14ac:dyDescent="0.15">
      <c r="A27" s="29"/>
      <c r="B27" s="227"/>
      <c r="C27" s="220"/>
      <c r="D27" s="224"/>
      <c r="E27" s="225"/>
      <c r="F27" s="226"/>
      <c r="H27" s="192"/>
    </row>
    <row r="28" spans="1:8" x14ac:dyDescent="0.15">
      <c r="A28" s="29"/>
      <c r="B28" s="55" t="s">
        <v>37</v>
      </c>
      <c r="C28" s="220"/>
      <c r="D28" s="228"/>
      <c r="E28" s="48" t="s">
        <v>120</v>
      </c>
      <c r="F28" s="39"/>
      <c r="H28" s="192"/>
    </row>
    <row r="29" spans="1:8" x14ac:dyDescent="0.15">
      <c r="A29" s="29" t="s">
        <v>121</v>
      </c>
      <c r="B29" s="51"/>
      <c r="C29" s="220" t="str">
        <f>"default: "&amp;TEXT(INDEX('Model parameters'!$H$36:$H$45,beleidsmakers_calc!$B$29),"€ #.##0")</f>
        <v>default: € 2.820</v>
      </c>
      <c r="D29" s="222" t="s">
        <v>122</v>
      </c>
      <c r="E29" s="229"/>
      <c r="F29" s="52" t="s">
        <v>123</v>
      </c>
    </row>
    <row r="30" spans="1:8" x14ac:dyDescent="0.15">
      <c r="A30" s="29" t="s">
        <v>124</v>
      </c>
      <c r="B30" s="51"/>
      <c r="C30" s="220"/>
      <c r="D30" s="222" t="s">
        <v>125</v>
      </c>
      <c r="E30" s="230"/>
      <c r="F30" s="52" t="s">
        <v>126</v>
      </c>
    </row>
    <row r="31" spans="1:8" x14ac:dyDescent="0.15">
      <c r="A31" s="64" t="s">
        <v>127</v>
      </c>
      <c r="B31" s="65">
        <f>beleidsmakers_calc!H17-B30</f>
        <v>2820</v>
      </c>
      <c r="C31" s="220"/>
      <c r="D31" s="224"/>
      <c r="E31" s="225"/>
      <c r="F31" s="226"/>
    </row>
    <row r="32" spans="1:8" x14ac:dyDescent="0.15">
      <c r="A32" s="29"/>
      <c r="B32" s="227"/>
      <c r="C32" s="220"/>
      <c r="D32" s="217" t="s">
        <v>128</v>
      </c>
      <c r="E32" s="231"/>
      <c r="F32" s="232" t="s">
        <v>129</v>
      </c>
    </row>
    <row r="33" spans="1:6" x14ac:dyDescent="0.15">
      <c r="A33" s="29"/>
      <c r="B33" s="55" t="s">
        <v>130</v>
      </c>
      <c r="C33" s="220"/>
      <c r="D33" s="224"/>
      <c r="E33" s="225"/>
      <c r="F33" s="226"/>
    </row>
    <row r="34" spans="1:6" x14ac:dyDescent="0.15">
      <c r="A34" s="29" t="s">
        <v>131</v>
      </c>
      <c r="B34" s="233"/>
      <c r="C34" s="220" t="str">
        <f>"default: "&amp;beleidsmakers_calc!$I$21 &amp; " €/kWh"</f>
        <v>default: 0,13 €/kWh</v>
      </c>
      <c r="D34" s="217" t="s">
        <v>85</v>
      </c>
      <c r="E34" s="231"/>
      <c r="F34" s="232" t="s">
        <v>132</v>
      </c>
    </row>
    <row r="35" spans="1:6" x14ac:dyDescent="0.15">
      <c r="A35" s="29" t="s">
        <v>133</v>
      </c>
      <c r="B35" s="233"/>
      <c r="C35" s="58"/>
      <c r="D35" s="224"/>
      <c r="E35" s="225"/>
      <c r="F35" s="226"/>
    </row>
    <row r="36" spans="1:6" x14ac:dyDescent="0.15">
      <c r="A36" s="29" t="s">
        <v>134</v>
      </c>
      <c r="B36" s="234">
        <f>beleidsmakers_calc!H21-B35</f>
        <v>0.13</v>
      </c>
      <c r="C36" s="58"/>
      <c r="D36" s="224"/>
      <c r="E36" s="225"/>
      <c r="F36" s="226"/>
    </row>
    <row r="37" spans="1:6" x14ac:dyDescent="0.15">
      <c r="A37" s="204"/>
      <c r="B37" s="235"/>
      <c r="C37" s="236"/>
      <c r="D37" s="237"/>
      <c r="E37" s="238"/>
      <c r="F37" s="239"/>
    </row>
    <row r="38" spans="1:6" ht="12" customHeight="1" x14ac:dyDescent="0.15">
      <c r="A38" s="45"/>
      <c r="B38" s="43"/>
      <c r="C38" s="43"/>
      <c r="D38" s="43"/>
      <c r="E38" s="43"/>
      <c r="F38" s="28"/>
    </row>
    <row r="39" spans="1:6" ht="12" customHeight="1" x14ac:dyDescent="0.15">
      <c r="A39" s="23" t="s">
        <v>45</v>
      </c>
      <c r="B39" s="24"/>
      <c r="C39" s="24"/>
      <c r="D39" s="25"/>
      <c r="E39" s="38"/>
      <c r="F39" s="39"/>
    </row>
    <row r="40" spans="1:6" ht="12" customHeight="1" x14ac:dyDescent="0.15">
      <c r="A40" s="69" t="s">
        <v>46</v>
      </c>
      <c r="B40" s="70"/>
      <c r="C40" s="71" t="s">
        <v>109</v>
      </c>
      <c r="D40" s="72" t="s">
        <v>49</v>
      </c>
      <c r="E40" s="38"/>
      <c r="F40" s="39"/>
    </row>
    <row r="41" spans="1:6" ht="12" customHeight="1" x14ac:dyDescent="0.15">
      <c r="A41" s="73" t="s">
        <v>50</v>
      </c>
      <c r="B41" s="74"/>
      <c r="C41" s="75" t="str">
        <f>IFERROR(IF(beleidsmakers_calc!$B$48="Yes","Scenario valid","Vehicle technology insufficient"),"Scenario valid")</f>
        <v>Scenario valid</v>
      </c>
      <c r="D41" s="76" t="s">
        <v>51</v>
      </c>
      <c r="E41" s="38"/>
      <c r="F41" s="39"/>
    </row>
    <row r="42" spans="1:6" ht="12" customHeight="1" x14ac:dyDescent="0.15">
      <c r="A42" s="37"/>
      <c r="B42" s="38"/>
      <c r="C42" s="38"/>
      <c r="D42" s="38"/>
      <c r="E42" s="38"/>
      <c r="F42" s="39"/>
    </row>
    <row r="43" spans="1:6" x14ac:dyDescent="0.15">
      <c r="A43" s="69" t="s">
        <v>6</v>
      </c>
      <c r="B43" s="70"/>
      <c r="C43" s="240" t="str">
        <f>beleidsmakers_calc!$B$16</f>
        <v>Trekker-oplegger</v>
      </c>
      <c r="D43" s="241" t="str">
        <f>B12</f>
        <v>Trekker-oplegger</v>
      </c>
      <c r="E43" s="38"/>
      <c r="F43" s="39"/>
    </row>
    <row r="44" spans="1:6" ht="12" customHeight="1" x14ac:dyDescent="0.15">
      <c r="A44" s="79" t="s">
        <v>52</v>
      </c>
      <c r="B44" s="80"/>
      <c r="C44" s="81" t="str">
        <f>IFERROR(INDEX('Model parameters'!$B$36:$B$45,beleidsmakers_calc!$B$30),"None")</f>
        <v>AC20</v>
      </c>
      <c r="D44" s="242" t="s">
        <v>53</v>
      </c>
      <c r="E44" s="38"/>
      <c r="F44" s="39"/>
    </row>
    <row r="45" spans="1:6" ht="12" customHeight="1" x14ac:dyDescent="0.15">
      <c r="A45" s="73" t="s">
        <v>54</v>
      </c>
      <c r="B45" s="74"/>
      <c r="C45" s="83" t="str">
        <f>IFERROR(INDEX('Model parameters'!$B$36:$B$45,beleidsmakers_calc!$B$43),"None")</f>
        <v>FC50</v>
      </c>
      <c r="D45" s="76" t="s">
        <v>53</v>
      </c>
      <c r="E45" s="38"/>
      <c r="F45" s="39"/>
    </row>
    <row r="46" spans="1:6" ht="12" customHeight="1" x14ac:dyDescent="0.15">
      <c r="A46" s="37"/>
      <c r="B46" s="38"/>
      <c r="C46" s="85"/>
      <c r="D46" s="38" t="s">
        <v>56</v>
      </c>
      <c r="E46" s="38"/>
      <c r="F46" s="39"/>
    </row>
    <row r="47" spans="1:6" ht="12" customHeight="1" x14ac:dyDescent="0.15">
      <c r="A47" s="69" t="s">
        <v>57</v>
      </c>
      <c r="B47" s="70"/>
      <c r="C47" s="243">
        <f>beleidsmakers_calc!B34/beleidsmakers_calc!B6</f>
        <v>0.23680000000000001</v>
      </c>
      <c r="D47" s="244" t="s">
        <v>53</v>
      </c>
      <c r="E47" s="38"/>
      <c r="F47" s="39"/>
    </row>
    <row r="48" spans="1:6" ht="12" customHeight="1" x14ac:dyDescent="0.15">
      <c r="A48" s="73" t="s">
        <v>58</v>
      </c>
      <c r="B48" s="74"/>
      <c r="C48" s="89">
        <f>1-C47</f>
        <v>0.76319999999999999</v>
      </c>
      <c r="D48" s="245" t="s">
        <v>53</v>
      </c>
      <c r="E48" s="38"/>
      <c r="F48" s="39"/>
    </row>
    <row r="49" spans="1:6" x14ac:dyDescent="0.15">
      <c r="A49" s="37"/>
      <c r="B49" s="38"/>
      <c r="C49" s="38"/>
      <c r="D49" s="38"/>
      <c r="E49" s="38"/>
      <c r="F49" s="39"/>
    </row>
    <row r="50" spans="1:6" x14ac:dyDescent="0.15">
      <c r="A50" s="94" t="s">
        <v>59</v>
      </c>
      <c r="B50" s="95"/>
      <c r="C50" s="96">
        <f>C108</f>
        <v>199298.97003924736</v>
      </c>
      <c r="D50" s="97">
        <f>D108</f>
        <v>128456.11949817155</v>
      </c>
      <c r="E50" s="38"/>
      <c r="F50" s="39"/>
    </row>
    <row r="51" spans="1:6" x14ac:dyDescent="0.15">
      <c r="A51" s="98" t="s">
        <v>60</v>
      </c>
      <c r="B51" s="99"/>
      <c r="C51" s="100">
        <f>C50/ondernemers_calc!$I$32</f>
        <v>1.6868769032733681</v>
      </c>
      <c r="D51" s="101">
        <f>D50/$B$14</f>
        <v>3.6701748428049017</v>
      </c>
      <c r="E51" s="38"/>
      <c r="F51" s="39"/>
    </row>
    <row r="52" spans="1:6" x14ac:dyDescent="0.15">
      <c r="A52" s="102" t="s">
        <v>61</v>
      </c>
      <c r="B52" s="103"/>
      <c r="C52" s="104">
        <f>C50/'TCO module ondernemers'!$B$28</f>
        <v>77.855857074155452</v>
      </c>
      <c r="D52" s="105">
        <f>D50/'TCO module ondernemers'!$C$28</f>
        <v>49.406199806989058</v>
      </c>
      <c r="E52" s="38"/>
      <c r="F52" s="39"/>
    </row>
    <row r="53" spans="1:6" x14ac:dyDescent="0.15">
      <c r="A53" s="37"/>
      <c r="B53" s="38"/>
      <c r="C53" s="38"/>
      <c r="D53" s="38"/>
      <c r="E53" s="38"/>
      <c r="F53" s="39"/>
    </row>
    <row r="54" spans="1:6" x14ac:dyDescent="0.15">
      <c r="A54" s="106" t="s">
        <v>62</v>
      </c>
      <c r="B54" s="107"/>
      <c r="C54" s="246"/>
      <c r="D54" s="247"/>
      <c r="E54" s="38"/>
      <c r="F54" s="39"/>
    </row>
    <row r="55" spans="1:6" x14ac:dyDescent="0.15">
      <c r="A55" s="110" t="s">
        <v>63</v>
      </c>
      <c r="B55" s="111">
        <v>1</v>
      </c>
      <c r="C55" s="112">
        <f>INDEX(beleidsmakers_calc!$B$78:$B$85,$B55+IF('TCO module beleidsmakers'!$B$15='Model parameters'!$B$31,0,5))</f>
        <v>18.706872163154003</v>
      </c>
      <c r="D55" s="113">
        <f>beleidsmakers_calc!C78</f>
        <v>6.4621319785199027</v>
      </c>
      <c r="E55" s="38"/>
      <c r="F55" s="39"/>
    </row>
    <row r="56" spans="1:6" x14ac:dyDescent="0.15">
      <c r="A56" s="110" t="s">
        <v>64</v>
      </c>
      <c r="B56" s="111">
        <v>2</v>
      </c>
      <c r="C56" s="112">
        <f>INDEX(beleidsmakers_calc!$B$78:$B$85,$B56+IF('TCO module beleidsmakers'!$B$15='Model parameters'!$B$31,0,5))</f>
        <v>2.3512820142658493</v>
      </c>
      <c r="D56" s="113">
        <f>beleidsmakers_calc!C79</f>
        <v>2.4798751466744609</v>
      </c>
      <c r="E56" s="38"/>
      <c r="F56" s="39"/>
    </row>
    <row r="57" spans="1:6" x14ac:dyDescent="0.15">
      <c r="A57" s="114" t="s">
        <v>65</v>
      </c>
      <c r="B57" s="115">
        <v>3</v>
      </c>
      <c r="C57" s="116">
        <f>INDEX(beleidsmakers_calc!$B$78:$B$85,$B57+IF('TCO module beleidsmakers'!$B$15='Model parameters'!$B$31,0,5))</f>
        <v>23.143470771017505</v>
      </c>
      <c r="D57" s="117">
        <f>beleidsmakers_calc!C80</f>
        <v>15.829435039580202</v>
      </c>
      <c r="E57" s="38"/>
      <c r="F57" s="39"/>
    </row>
    <row r="58" spans="1:6" outlineLevel="1" x14ac:dyDescent="0.15">
      <c r="A58" s="37"/>
      <c r="B58" s="38"/>
      <c r="C58" s="38"/>
      <c r="D58" s="38"/>
      <c r="E58" s="38"/>
      <c r="F58" s="39"/>
    </row>
    <row r="59" spans="1:6" outlineLevel="1" x14ac:dyDescent="0.15">
      <c r="A59" s="23" t="s">
        <v>66</v>
      </c>
      <c r="B59" s="121"/>
      <c r="C59" s="121"/>
      <c r="D59" s="25"/>
      <c r="E59" s="38"/>
      <c r="F59" s="39"/>
    </row>
    <row r="60" spans="1:6" outlineLevel="2" x14ac:dyDescent="0.15">
      <c r="A60" s="123" t="s">
        <v>67</v>
      </c>
      <c r="B60" s="124"/>
      <c r="C60" s="125"/>
      <c r="D60" s="126"/>
      <c r="E60" s="38"/>
      <c r="F60" s="39"/>
    </row>
    <row r="61" spans="1:6" outlineLevel="2" x14ac:dyDescent="0.15">
      <c r="A61" s="127" t="s">
        <v>68</v>
      </c>
      <c r="B61" s="128">
        <f>INDEX('Model parameters'!$O$14:$O$20,beleidsmakers_calc!C$19)</f>
        <v>976</v>
      </c>
      <c r="C61" s="129">
        <v>0</v>
      </c>
      <c r="D61" s="130">
        <f>B61</f>
        <v>976</v>
      </c>
      <c r="E61" s="38"/>
      <c r="F61" s="39"/>
    </row>
    <row r="62" spans="1:6" outlineLevel="2" x14ac:dyDescent="0.15">
      <c r="A62" s="127" t="s">
        <v>69</v>
      </c>
      <c r="B62" s="128">
        <f>INDEX('Model parameters'!$P$14:$P$20,beleidsmakers_calc!$C$19)</f>
        <v>1250</v>
      </c>
      <c r="C62" s="129">
        <f>B62</f>
        <v>1250</v>
      </c>
      <c r="D62" s="130">
        <f>$B$62</f>
        <v>1250</v>
      </c>
      <c r="E62" s="38"/>
      <c r="F62" s="39"/>
    </row>
    <row r="63" spans="1:6" outlineLevel="2" x14ac:dyDescent="0.15">
      <c r="A63" s="127" t="s">
        <v>70</v>
      </c>
      <c r="B63" s="131">
        <v>0.04</v>
      </c>
      <c r="C63" s="129">
        <f>(1+INDEX('Model parameters'!$B$59:$B$73,E13))/2*INDEX('Model parameters'!$E$4:$E$10,beleidsmakers_calc!$B$17)*$B$63</f>
        <v>7150.6318497989423</v>
      </c>
      <c r="D63" s="130">
        <f>(1+INDEX('Model parameters'!$B$59:$B$73,F13))/2*INDEX('Model parameters'!$E$14:$E$20,beleidsmakers_calc!$C$19)*$B$63</f>
        <v>3557.8835267201089</v>
      </c>
      <c r="E63" s="38"/>
      <c r="F63" s="39"/>
    </row>
    <row r="64" spans="1:6" outlineLevel="2" x14ac:dyDescent="0.15">
      <c r="A64" s="127" t="s">
        <v>71</v>
      </c>
      <c r="B64" s="132">
        <v>3.2000000000000001E-2</v>
      </c>
      <c r="C64" s="129">
        <f>INDEX('Model parameters'!$E$4:$E$10,beleidsmakers_calc!$B$17)*$B$64</f>
        <v>9293.3119999999999</v>
      </c>
      <c r="D64" s="130">
        <f>INDEX('Model parameters'!$E$14:$E$20,beleidsmakers_calc!$C$19)*$B$64</f>
        <v>4624</v>
      </c>
      <c r="E64" s="38"/>
      <c r="F64" s="39"/>
    </row>
    <row r="65" spans="1:6" outlineLevel="2" x14ac:dyDescent="0.15">
      <c r="A65" s="127" t="s">
        <v>72</v>
      </c>
      <c r="B65" s="132"/>
      <c r="C65" s="129">
        <v>0</v>
      </c>
      <c r="D65" s="130">
        <f>E32</f>
        <v>0</v>
      </c>
      <c r="E65" s="38"/>
      <c r="F65" s="39"/>
    </row>
    <row r="66" spans="1:6" outlineLevel="2" x14ac:dyDescent="0.15">
      <c r="A66" s="127" t="s">
        <v>73</v>
      </c>
      <c r="B66" s="128">
        <f>INDEX('Model parameters'!$Q$14:$Q$20,beleidsmakers_calc!C$19)</f>
        <v>69</v>
      </c>
      <c r="C66" s="248">
        <v>69</v>
      </c>
      <c r="D66" s="249">
        <v>69</v>
      </c>
      <c r="E66" s="38"/>
      <c r="F66" s="39"/>
    </row>
    <row r="67" spans="1:6" outlineLevel="1" x14ac:dyDescent="0.15">
      <c r="A67" s="133" t="s">
        <v>74</v>
      </c>
      <c r="B67" s="134"/>
      <c r="C67" s="250">
        <f>SUM(C61:C66)</f>
        <v>17762.943849798939</v>
      </c>
      <c r="D67" s="251">
        <f>SUM(D61:D66)</f>
        <v>10476.883526720108</v>
      </c>
      <c r="E67" s="38"/>
      <c r="F67" s="39"/>
    </row>
    <row r="68" spans="1:6" outlineLevel="1" x14ac:dyDescent="0.15">
      <c r="A68" s="252"/>
      <c r="B68" s="253"/>
      <c r="C68" s="254"/>
      <c r="D68" s="38"/>
      <c r="E68" s="38"/>
      <c r="F68" s="39"/>
    </row>
    <row r="69" spans="1:6" outlineLevel="1" x14ac:dyDescent="0.15">
      <c r="A69" s="141" t="s">
        <v>76</v>
      </c>
      <c r="B69" s="142"/>
      <c r="C69" s="143"/>
      <c r="D69" s="144"/>
      <c r="E69" s="38"/>
      <c r="F69" s="39"/>
    </row>
    <row r="70" spans="1:6" outlineLevel="2" x14ac:dyDescent="0.15">
      <c r="A70" s="145" t="s">
        <v>90</v>
      </c>
      <c r="B70" s="156"/>
      <c r="C70" s="147">
        <f>beleidsmakers_calc!H34</f>
        <v>31900.058215721841</v>
      </c>
      <c r="D70" s="148">
        <f>beleidsmakers_calc!H33</f>
        <v>15872.260523427793</v>
      </c>
      <c r="E70" s="38"/>
      <c r="F70" s="39"/>
    </row>
    <row r="71" spans="1:6" outlineLevel="2" x14ac:dyDescent="0.15">
      <c r="A71" s="145" t="s">
        <v>77</v>
      </c>
      <c r="B71" s="146">
        <f>'TCO module beleidsmakers'!$E$23*INDEX('Model parameters'!$I$8:$I$20,beleidsmakers_calc!$C$19)</f>
        <v>0.109554</v>
      </c>
      <c r="C71" s="147">
        <v>0</v>
      </c>
      <c r="D71" s="148">
        <f>$B$14*B71</f>
        <v>3834.39</v>
      </c>
      <c r="E71" s="38"/>
      <c r="F71" s="39"/>
    </row>
    <row r="72" spans="1:6" outlineLevel="2" x14ac:dyDescent="0.15">
      <c r="A72" s="145" t="s">
        <v>78</v>
      </c>
      <c r="B72" s="146">
        <f>+IF($B$13="gekoeld",'TCO module beleidsmakers'!E23*INDEX('Model parameters'!$J$14:$J$20,beleidsmakers_calc!$C$19),0)</f>
        <v>0</v>
      </c>
      <c r="C72" s="147">
        <v>0</v>
      </c>
      <c r="D72" s="148">
        <f>B72*beleidsmakers_calc!$H$29</f>
        <v>0</v>
      </c>
      <c r="E72" s="38"/>
      <c r="F72" s="39"/>
    </row>
    <row r="73" spans="1:6" outlineLevel="2" x14ac:dyDescent="0.15">
      <c r="A73" s="145" t="s">
        <v>79</v>
      </c>
      <c r="B73" s="146"/>
      <c r="C73" s="147">
        <f>IF(C41="Scenario valid",SUM(beleidsmakers_calc!B$53:B$54),NA())</f>
        <v>20721.85135135135</v>
      </c>
      <c r="D73" s="148">
        <v>0</v>
      </c>
      <c r="E73" s="38"/>
      <c r="F73" s="39"/>
    </row>
    <row r="74" spans="1:6" outlineLevel="2" x14ac:dyDescent="0.15">
      <c r="A74" s="145" t="s">
        <v>80</v>
      </c>
      <c r="B74" s="146">
        <f>INDEX('Model parameters'!$M$14:$M$20,beleidsmakers_calc!$C$19)</f>
        <v>3.9199999999999999E-2</v>
      </c>
      <c r="C74" s="147">
        <f>IF(C41="Scenario valid",$B$74*beleidsmakers_calc!$H$25,NA())</f>
        <v>1350.8108108108108</v>
      </c>
      <c r="D74" s="148">
        <f>$B$74*B$14</f>
        <v>1372</v>
      </c>
      <c r="E74" s="38"/>
      <c r="F74" s="39"/>
    </row>
    <row r="75" spans="1:6" outlineLevel="2" x14ac:dyDescent="0.15">
      <c r="A75" s="145" t="s">
        <v>81</v>
      </c>
      <c r="B75" s="146"/>
      <c r="C75" s="147">
        <f>IF(C41="Scenario valid",beleidsmakers_calc!B$52,NA())</f>
        <v>1048.877027027027</v>
      </c>
      <c r="D75" s="148">
        <f>INDEX('Model parameters'!$L$14:$L$20,beleidsmakers_calc!$C$19)*$B$14</f>
        <v>2803.5</v>
      </c>
      <c r="E75" s="38"/>
      <c r="F75" s="39"/>
    </row>
    <row r="76" spans="1:6" outlineLevel="2" x14ac:dyDescent="0.15">
      <c r="A76" s="145" t="s">
        <v>82</v>
      </c>
      <c r="B76" s="146"/>
      <c r="C76" s="147">
        <f>beleidsmakers_calc!H37</f>
        <v>5000</v>
      </c>
      <c r="D76" s="148">
        <f>beleidsmakers_calc!H38</f>
        <v>1500</v>
      </c>
      <c r="E76" s="38"/>
      <c r="F76" s="39"/>
    </row>
    <row r="77" spans="1:6" outlineLevel="2" x14ac:dyDescent="0.15">
      <c r="A77" s="145" t="s">
        <v>83</v>
      </c>
      <c r="B77" s="146">
        <f>IF(B13="gekoeld",INDEX('Model parameters'!$N$14:$N$20,beleidsmakers_calc!$C$19),0)</f>
        <v>0</v>
      </c>
      <c r="C77" s="147">
        <f>$B$77*'TCO module ondernemers'!$B$28</f>
        <v>0</v>
      </c>
      <c r="D77" s="148">
        <f>$B$77*'TCO module ondernemers'!$C$28</f>
        <v>0</v>
      </c>
      <c r="E77" s="38"/>
      <c r="F77" s="39"/>
    </row>
    <row r="78" spans="1:6" outlineLevel="2" x14ac:dyDescent="0.15">
      <c r="A78" s="127" t="s">
        <v>84</v>
      </c>
      <c r="B78" s="132"/>
      <c r="C78" s="129">
        <v>0</v>
      </c>
      <c r="D78" s="148">
        <f>E29*B14*$E$30</f>
        <v>0</v>
      </c>
      <c r="E78" s="38"/>
      <c r="F78" s="39"/>
    </row>
    <row r="79" spans="1:6" outlineLevel="2" x14ac:dyDescent="0.15">
      <c r="A79" s="127" t="s">
        <v>85</v>
      </c>
      <c r="B79" s="132"/>
      <c r="C79" s="129">
        <f>$E$34*C$55</f>
        <v>0</v>
      </c>
      <c r="D79" s="148">
        <f>$E$34*D$55</f>
        <v>0</v>
      </c>
      <c r="E79" s="38"/>
      <c r="F79" s="39"/>
    </row>
    <row r="80" spans="1:6" outlineLevel="2" x14ac:dyDescent="0.15">
      <c r="A80" s="145" t="s">
        <v>86</v>
      </c>
      <c r="B80" s="149">
        <f>INDEX('Model parameters'!$R$14:$R$20,beleidsmakers_calc!$C$19)</f>
        <v>935</v>
      </c>
      <c r="C80" s="147">
        <f>$B$80</f>
        <v>935</v>
      </c>
      <c r="D80" s="148">
        <f>$B$80</f>
        <v>935</v>
      </c>
      <c r="E80" s="38"/>
      <c r="F80" s="39"/>
    </row>
    <row r="81" spans="1:6" outlineLevel="1" x14ac:dyDescent="0.15">
      <c r="A81" s="150" t="s">
        <v>87</v>
      </c>
      <c r="B81" s="151"/>
      <c r="C81" s="152">
        <f>SUM(C70:C80)</f>
        <v>60956.59740491103</v>
      </c>
      <c r="D81" s="153">
        <f>SUM(D70:D80)</f>
        <v>26317.150523427794</v>
      </c>
      <c r="E81" s="38"/>
      <c r="F81" s="39"/>
    </row>
    <row r="82" spans="1:6" outlineLevel="1" x14ac:dyDescent="0.15">
      <c r="A82" s="255"/>
      <c r="B82" s="256"/>
      <c r="C82" s="257"/>
      <c r="D82" s="38"/>
      <c r="E82" s="38"/>
      <c r="F82" s="39"/>
    </row>
    <row r="83" spans="1:6" outlineLevel="2" x14ac:dyDescent="0.15">
      <c r="A83" s="164" t="s">
        <v>93</v>
      </c>
      <c r="B83" s="165"/>
      <c r="C83" s="143"/>
      <c r="D83" s="144"/>
      <c r="E83" s="38"/>
      <c r="F83" s="39"/>
    </row>
    <row r="84" spans="1:6" outlineLevel="2" x14ac:dyDescent="0.15">
      <c r="A84" s="145" t="s">
        <v>94</v>
      </c>
      <c r="B84" s="166"/>
      <c r="C84" s="147">
        <f>B31/10</f>
        <v>282</v>
      </c>
      <c r="D84" s="148">
        <v>0</v>
      </c>
      <c r="E84" s="38"/>
      <c r="F84" s="39"/>
    </row>
    <row r="85" spans="1:6" outlineLevel="2" x14ac:dyDescent="0.15">
      <c r="A85" s="145" t="s">
        <v>95</v>
      </c>
      <c r="B85" s="166"/>
      <c r="C85" s="167">
        <f>SUMIF('Model parameters'!$A$36:$A$45,beleidsmakers_calc!$B$30,'Model parameters'!$K$36:$K$45)</f>
        <v>165</v>
      </c>
      <c r="D85" s="168">
        <v>0</v>
      </c>
      <c r="E85" s="38"/>
      <c r="F85" s="39"/>
    </row>
    <row r="86" spans="1:6" outlineLevel="1" x14ac:dyDescent="0.15">
      <c r="A86" s="159" t="s">
        <v>135</v>
      </c>
      <c r="B86" s="169"/>
      <c r="C86" s="161">
        <f>IF(C41="Scenario valid",SUM(C84:C85),NA())</f>
        <v>447</v>
      </c>
      <c r="D86" s="170">
        <f>IF(D41="Scenario valid",SUM(D84:D85),NA())</f>
        <v>0</v>
      </c>
      <c r="E86" s="38"/>
      <c r="F86" s="39"/>
    </row>
    <row r="87" spans="1:6" outlineLevel="1" x14ac:dyDescent="0.15">
      <c r="A87" s="258"/>
      <c r="B87" s="259"/>
      <c r="C87" s="257"/>
      <c r="D87" s="38"/>
      <c r="E87" s="38"/>
      <c r="F87" s="39"/>
    </row>
    <row r="88" spans="1:6" outlineLevel="1" x14ac:dyDescent="0.15">
      <c r="A88" s="141" t="s">
        <v>136</v>
      </c>
      <c r="B88" s="172"/>
      <c r="C88" s="173">
        <f>SUM(C$67,C$81,C$86)</f>
        <v>79166.54125470997</v>
      </c>
      <c r="D88" s="181">
        <f>SUM(D$67,D$81,D$86)</f>
        <v>36794.0340501479</v>
      </c>
      <c r="E88" s="38"/>
      <c r="F88" s="39"/>
    </row>
    <row r="89" spans="1:6" outlineLevel="1" x14ac:dyDescent="0.15">
      <c r="A89" s="174" t="s">
        <v>137</v>
      </c>
      <c r="B89" s="166"/>
      <c r="C89" s="260">
        <f>C88/ondernemers_calc!$I$32</f>
        <v>0.67006974460685886</v>
      </c>
      <c r="D89" s="101">
        <f>D88/$B$14</f>
        <v>1.0512581157185115</v>
      </c>
      <c r="E89" s="38"/>
      <c r="F89" s="39"/>
    </row>
    <row r="90" spans="1:6" outlineLevel="1" x14ac:dyDescent="0.15">
      <c r="A90" s="150" t="s">
        <v>138</v>
      </c>
      <c r="B90" s="169"/>
      <c r="C90" s="104">
        <f>C88/'TCO module ondernemers'!$B$28</f>
        <v>30.926295904931948</v>
      </c>
      <c r="D90" s="105">
        <f>D88/'TCO module ondernemers'!$C$28</f>
        <v>14.151551557749192</v>
      </c>
      <c r="E90" s="38"/>
      <c r="F90" s="39"/>
    </row>
    <row r="91" spans="1:6" outlineLevel="1" x14ac:dyDescent="0.15">
      <c r="A91" s="258"/>
      <c r="B91" s="259"/>
      <c r="C91" s="257"/>
      <c r="D91" s="38"/>
      <c r="E91" s="38"/>
      <c r="F91" s="39"/>
    </row>
    <row r="92" spans="1:6" hidden="1" outlineLevel="2" x14ac:dyDescent="0.15">
      <c r="A92" s="141" t="s">
        <v>100</v>
      </c>
      <c r="B92" s="165"/>
      <c r="C92" s="143"/>
      <c r="D92" s="144"/>
      <c r="E92" s="38"/>
      <c r="F92" s="39"/>
    </row>
    <row r="93" spans="1:6" hidden="1" outlineLevel="2" x14ac:dyDescent="0.15">
      <c r="A93" s="145" t="s">
        <v>101</v>
      </c>
      <c r="B93" s="177">
        <v>27.13</v>
      </c>
      <c r="C93" s="147">
        <f>$B93*('TCO module ondernemers'!$C$28+beleidsmakers_calc!$B$47*beleidsmakers_calc!$B$5)</f>
        <v>88375.608378378383</v>
      </c>
      <c r="D93" s="148">
        <f>$B$93*'TCO module ondernemers'!$C$28</f>
        <v>70538</v>
      </c>
      <c r="E93" s="38"/>
      <c r="F93" s="39"/>
    </row>
    <row r="94" spans="1:6" hidden="1" outlineLevel="2" x14ac:dyDescent="0.15">
      <c r="A94" s="145" t="s">
        <v>102</v>
      </c>
      <c r="B94" s="177">
        <v>0.85</v>
      </c>
      <c r="C94" s="147">
        <f>$B94*('TCO module ondernemers'!$C$28+beleidsmakers_calc!$B$47*beleidsmakers_calc!$B$5)</f>
        <v>2768.8635135135137</v>
      </c>
      <c r="D94" s="148">
        <f>$B$94*'TCO module ondernemers'!$C$28</f>
        <v>2210</v>
      </c>
      <c r="E94" s="38"/>
      <c r="F94" s="39"/>
    </row>
    <row r="95" spans="1:6" hidden="1" outlineLevel="2" x14ac:dyDescent="0.15">
      <c r="A95" s="145" t="s">
        <v>103</v>
      </c>
      <c r="B95" s="177">
        <v>0.46</v>
      </c>
      <c r="C95" s="167">
        <f>$B95*('TCO module ondernemers'!$C$28+beleidsmakers_calc!$B$47*beleidsmakers_calc!$B$5)</f>
        <v>1498.4437837837838</v>
      </c>
      <c r="D95" s="168">
        <f>$B$95*'TCO module ondernemers'!$C$28</f>
        <v>1196</v>
      </c>
      <c r="E95" s="38"/>
      <c r="F95" s="39"/>
    </row>
    <row r="96" spans="1:6" outlineLevel="1" collapsed="1" x14ac:dyDescent="0.15">
      <c r="A96" s="150" t="s">
        <v>139</v>
      </c>
      <c r="B96" s="178"/>
      <c r="C96" s="161">
        <f>SUM(C93:C95)</f>
        <v>92642.915675675686</v>
      </c>
      <c r="D96" s="170">
        <f>SUM(D93:D95)</f>
        <v>73944</v>
      </c>
      <c r="E96" s="38"/>
      <c r="F96" s="39"/>
    </row>
    <row r="97" spans="1:29" outlineLevel="1" x14ac:dyDescent="0.15">
      <c r="A97" s="255"/>
      <c r="B97" s="261"/>
      <c r="C97" s="257"/>
      <c r="D97" s="38"/>
      <c r="E97" s="38"/>
      <c r="F97" s="39"/>
    </row>
    <row r="98" spans="1:29" outlineLevel="1" x14ac:dyDescent="0.15">
      <c r="A98" s="123" t="s">
        <v>140</v>
      </c>
      <c r="B98" s="180"/>
      <c r="C98" s="173">
        <f>SUM(C$88,C$96,)</f>
        <v>171809.45693038567</v>
      </c>
      <c r="D98" s="181">
        <f>SUM(D$88,D$96,)</f>
        <v>110738.03405014789</v>
      </c>
      <c r="E98" s="38"/>
      <c r="F98" s="39"/>
    </row>
    <row r="99" spans="1:29" ht="11.25" customHeight="1" outlineLevel="1" x14ac:dyDescent="0.15">
      <c r="A99" s="182" t="s">
        <v>141</v>
      </c>
      <c r="B99" s="183"/>
      <c r="C99" s="260">
        <f>C98/ondernemers_calc!$I$32</f>
        <v>1.4542042269598001</v>
      </c>
      <c r="D99" s="185">
        <f>D98/$B$14</f>
        <v>3.1639438300042255</v>
      </c>
      <c r="E99" s="38"/>
      <c r="F99" s="39"/>
    </row>
    <row r="100" spans="1:29" outlineLevel="1" x14ac:dyDescent="0.15">
      <c r="A100" s="133" t="s">
        <v>142</v>
      </c>
      <c r="B100" s="186"/>
      <c r="C100" s="187">
        <f>C98/2600</f>
        <v>66.080560357840639</v>
      </c>
      <c r="D100" s="105">
        <f>D98/'TCO module ondernemers'!$C$28</f>
        <v>42.591551557749192</v>
      </c>
      <c r="E100" s="38"/>
      <c r="F100" s="39"/>
    </row>
    <row r="101" spans="1:29" s="264" customFormat="1" outlineLevel="1" x14ac:dyDescent="0.15">
      <c r="A101" s="252"/>
      <c r="B101" s="262"/>
      <c r="C101" s="263"/>
      <c r="D101" s="38"/>
      <c r="E101" s="38"/>
      <c r="F101" s="39"/>
      <c r="G101" s="3"/>
      <c r="H101" s="3"/>
      <c r="I101" s="3"/>
      <c r="J101" s="3"/>
      <c r="K101" s="3"/>
      <c r="L101" s="3"/>
      <c r="M101" s="3"/>
      <c r="N101" s="3"/>
      <c r="O101" s="3"/>
      <c r="P101" s="3"/>
      <c r="Q101" s="3"/>
      <c r="R101" s="3"/>
      <c r="S101" s="3"/>
      <c r="T101" s="3"/>
      <c r="U101" s="3"/>
      <c r="V101" s="3"/>
      <c r="W101" s="3"/>
      <c r="X101" s="3"/>
      <c r="Y101" s="3"/>
      <c r="Z101" s="3"/>
      <c r="AA101" s="3"/>
      <c r="AB101" s="3"/>
      <c r="AC101" s="3"/>
    </row>
    <row r="102" spans="1:29" hidden="1" outlineLevel="2" x14ac:dyDescent="0.15">
      <c r="A102" s="141" t="s">
        <v>143</v>
      </c>
      <c r="B102" s="165"/>
      <c r="C102" s="143"/>
      <c r="D102" s="144"/>
      <c r="E102" s="38"/>
      <c r="F102" s="39"/>
    </row>
    <row r="103" spans="1:29" hidden="1" outlineLevel="2" x14ac:dyDescent="0.15">
      <c r="A103" s="145" t="s">
        <v>144</v>
      </c>
      <c r="B103" s="265">
        <v>8.4000000000000005E-2</v>
      </c>
      <c r="C103" s="147">
        <f t="shared" ref="C103:D105" si="0">$B103*C$98</f>
        <v>14431.994382152398</v>
      </c>
      <c r="D103" s="148">
        <f t="shared" si="0"/>
        <v>9301.9948602124241</v>
      </c>
      <c r="E103" s="38"/>
      <c r="F103" s="39"/>
    </row>
    <row r="104" spans="1:29" hidden="1" outlineLevel="2" x14ac:dyDescent="0.15">
      <c r="A104" s="145" t="s">
        <v>145</v>
      </c>
      <c r="B104" s="265">
        <v>2.5999999999999999E-2</v>
      </c>
      <c r="C104" s="147">
        <f t="shared" si="0"/>
        <v>4467.0458801900268</v>
      </c>
      <c r="D104" s="148">
        <f t="shared" si="0"/>
        <v>2879.1888853038449</v>
      </c>
      <c r="E104" s="38"/>
      <c r="F104" s="39"/>
    </row>
    <row r="105" spans="1:29" hidden="1" outlineLevel="2" x14ac:dyDescent="0.15">
      <c r="A105" s="145" t="s">
        <v>146</v>
      </c>
      <c r="B105" s="265">
        <v>0.05</v>
      </c>
      <c r="C105" s="167">
        <f t="shared" si="0"/>
        <v>8590.4728465192838</v>
      </c>
      <c r="D105" s="168">
        <f t="shared" si="0"/>
        <v>5536.9017025073954</v>
      </c>
      <c r="E105" s="38"/>
      <c r="F105" s="39"/>
    </row>
    <row r="106" spans="1:29" outlineLevel="1" collapsed="1" x14ac:dyDescent="0.15">
      <c r="A106" s="150" t="s">
        <v>147</v>
      </c>
      <c r="B106" s="266"/>
      <c r="C106" s="161">
        <f>SUM(C103:C105)</f>
        <v>27489.513108861705</v>
      </c>
      <c r="D106" s="170">
        <f>SUM(D103:D105)</f>
        <v>17718.085448023667</v>
      </c>
      <c r="E106" s="38"/>
      <c r="F106" s="39"/>
    </row>
    <row r="107" spans="1:29" outlineLevel="1" x14ac:dyDescent="0.15">
      <c r="A107" s="255"/>
      <c r="B107" s="267"/>
      <c r="C107" s="257"/>
      <c r="D107" s="38"/>
      <c r="E107" s="38"/>
      <c r="F107" s="39"/>
    </row>
    <row r="108" spans="1:29" outlineLevel="1" x14ac:dyDescent="0.15">
      <c r="A108" s="94" t="s">
        <v>148</v>
      </c>
      <c r="B108" s="95"/>
      <c r="C108" s="96">
        <f>IF(C$41="Scenario valid",SUM(C98,C106),C41)</f>
        <v>199298.97003924736</v>
      </c>
      <c r="D108" s="97">
        <f>IF(D$41="Scenario valid",SUM(D98,D106),D41)</f>
        <v>128456.11949817155</v>
      </c>
      <c r="E108" s="38"/>
      <c r="F108" s="39"/>
    </row>
    <row r="109" spans="1:29" outlineLevel="1" x14ac:dyDescent="0.15">
      <c r="A109" s="98" t="s">
        <v>149</v>
      </c>
      <c r="B109" s="99"/>
      <c r="C109" s="260">
        <f>C108/ondernemers_calc!$I$32</f>
        <v>1.6868769032733681</v>
      </c>
      <c r="D109" s="101">
        <f>D108/$B$14</f>
        <v>3.6701748428049017</v>
      </c>
      <c r="E109" s="38"/>
      <c r="F109" s="39"/>
    </row>
    <row r="110" spans="1:29" outlineLevel="1" x14ac:dyDescent="0.15">
      <c r="A110" s="102" t="s">
        <v>150</v>
      </c>
      <c r="B110" s="103"/>
      <c r="C110" s="187">
        <f>C108/'TCO module ondernemers'!$B$28</f>
        <v>77.855857074155452</v>
      </c>
      <c r="D110" s="105">
        <f>D108/'TCO module ondernemers'!$C$28</f>
        <v>49.406199806989058</v>
      </c>
      <c r="E110" s="38"/>
      <c r="F110" s="39"/>
    </row>
    <row r="111" spans="1:29" x14ac:dyDescent="0.15">
      <c r="A111" s="66"/>
      <c r="B111" s="67"/>
      <c r="C111" s="67"/>
      <c r="D111" s="67"/>
      <c r="E111" s="67"/>
      <c r="F111" s="162"/>
    </row>
  </sheetData>
  <mergeCells count="1">
    <mergeCell ref="B4:D7"/>
  </mergeCells>
  <conditionalFormatting sqref="C41:D41">
    <cfRule type="containsText" dxfId="11" priority="2" operator="containsText" text="Vehicle technology insufficient">
      <formula>NOT(ISERROR(SEARCH("Vehicle technology insufficient",C41)))</formula>
    </cfRule>
  </conditionalFormatting>
  <dataValidations count="7">
    <dataValidation type="whole" allowBlank="1" showInputMessage="1" showErrorMessage="1" sqref="B19" xr:uid="{00000000-0002-0000-0200-000000000000}">
      <formula1>1</formula1>
      <formula2>C22</formula2>
    </dataValidation>
    <dataValidation type="whole" allowBlank="1" showInputMessage="1" showErrorMessage="1" sqref="B14" xr:uid="{00000000-0002-0000-0200-000001000000}">
      <formula1>1</formula1>
      <formula2>B22</formula2>
    </dataValidation>
    <dataValidation allowBlank="1" showInputMessage="1" showErrorMessage="1" promptTitle="Bruto aankoopprijs" prompt="Keep BLANK if using default." sqref="B24" xr:uid="{00000000-0002-0000-0200-000002000000}">
      <formula1>0</formula1>
      <formula2>0</formula2>
    </dataValidation>
    <dataValidation type="whole" showInputMessage="1" showErrorMessage="1" sqref="E13" xr:uid="{00000000-0002-0000-0200-000003000000}">
      <formula1>0</formula1>
      <formula2>10</formula2>
    </dataValidation>
    <dataValidation type="whole" allowBlank="1" showInputMessage="1" showErrorMessage="1" sqref="F13" xr:uid="{00000000-0002-0000-0200-000004000000}">
      <formula1>0</formula1>
      <formula2>10</formula2>
    </dataValidation>
    <dataValidation type="decimal" showInputMessage="1" showErrorMessage="1" promptTitle="Default value" prompt="€ 28.714" sqref="F14" xr:uid="{00000000-0002-0000-0200-000005000000}">
      <formula1>1</formula1>
      <formula2>90000000</formula2>
    </dataValidation>
    <dataValidation type="decimal" showInputMessage="1" showErrorMessage="1" promptTitle="Default value" prompt="€ 33.394" sqref="E14" xr:uid="{00000000-0002-0000-0200-000006000000}">
      <formula1>1</formula1>
      <formula2>90000000</formula2>
    </dataValidation>
  </dataValidations>
  <pageMargins left="0.7" right="0.7" top="0.75" bottom="0.75" header="0.51180555555555496" footer="0.51180555555555496"/>
  <pageSetup paperSize="8" firstPageNumber="0" fitToHeight="0" orientation="landscape" horizontalDpi="300" verticalDpi="300"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200-000007000000}">
          <x14:formula1>
            <xm:f>'Model parameters'!$A$31:$A$32</xm:f>
          </x14:formula1>
          <x14:formula2>
            <xm:f>0</xm:f>
          </x14:formula2>
          <xm:sqref>B13</xm:sqref>
        </x14:dataValidation>
        <x14:dataValidation type="list" allowBlank="1" showInputMessage="1" showErrorMessage="1" xr:uid="{00000000-0002-0000-0200-000008000000}">
          <x14:formula1>
            <xm:f>'Model parameters'!$A$18:$A$20</xm:f>
          </x14:formula1>
          <x14:formula2>
            <xm:f>0</xm:f>
          </x14:formula2>
          <xm:sqref>B12</xm:sqref>
        </x14:dataValidation>
        <x14:dataValidation type="list" allowBlank="1" showInputMessage="1" showErrorMessage="1" xr:uid="{00000000-0002-0000-0200-000009000000}">
          <x14:formula1>
            <xm:f>'Model parameters'!$B$49:$B$53</xm:f>
          </x14:formula1>
          <x14:formula2>
            <xm:f>0</xm:f>
          </x14:formula2>
          <xm:sqref>E17</xm:sqref>
        </x14:dataValidation>
        <x14:dataValidation type="list" allowBlank="1" showInputMessage="1" showErrorMessage="1" xr:uid="{00000000-0002-0000-0200-00000A000000}">
          <x14:formula1>
            <xm:f>beleidsmakers_calc!$D$20:$D$22</xm:f>
          </x14:formula1>
          <x14:formula2>
            <xm:f>0</xm:f>
          </x14:formula2>
          <xm:sqref>E16</xm:sqref>
        </x14:dataValidation>
        <x14:dataValidation type="list" allowBlank="1" showInputMessage="1" showErrorMessage="1" xr:uid="{00000000-0002-0000-0200-00000B000000}">
          <x14:formula1>
            <xm:f>'Model parameters'!$B$31:$B$32</xm:f>
          </x14:formula1>
          <x14:formula2>
            <xm:f>0</xm:f>
          </x14:formula2>
          <xm:sqref>B15</xm:sqref>
        </x14:dataValidation>
        <x14:dataValidation type="list" allowBlank="1" showInputMessage="1" showErrorMessage="1" xr:uid="{00000000-0002-0000-0200-00000C000000}">
          <x14:formula1>
            <xm:f>'Model parameters'!#REF!</xm:f>
          </x14:formula1>
          <x14:formula2>
            <xm:f>0</xm:f>
          </x14:formula2>
          <xm:sqref>B38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R86"/>
  <sheetViews>
    <sheetView topLeftCell="A37" zoomScaleNormal="100" workbookViewId="0">
      <selection activeCell="D79" sqref="D79"/>
    </sheetView>
  </sheetViews>
  <sheetFormatPr defaultColWidth="8.7109375" defaultRowHeight="10.5" x14ac:dyDescent="0.15"/>
  <cols>
    <col min="1" max="1" width="43.140625" customWidth="1"/>
    <col min="2" max="4" width="26.5703125" customWidth="1"/>
    <col min="5" max="6" width="10.42578125" customWidth="1"/>
    <col min="7" max="7" width="38.42578125" customWidth="1"/>
    <col min="8" max="8" width="11.5703125" style="268" customWidth="1"/>
    <col min="9" max="9" width="14.5703125" customWidth="1"/>
    <col min="10" max="10" width="25.140625" customWidth="1"/>
    <col min="11" max="11" width="10.85546875" customWidth="1"/>
    <col min="12" max="12" width="6.85546875" customWidth="1"/>
    <col min="13" max="18" width="4.5703125" customWidth="1"/>
  </cols>
  <sheetData>
    <row r="1" spans="1:18" x14ac:dyDescent="0.15">
      <c r="G1" s="192" t="s">
        <v>151</v>
      </c>
    </row>
    <row r="2" spans="1:18" ht="21" x14ac:dyDescent="0.15">
      <c r="A2" s="269" t="s">
        <v>152</v>
      </c>
      <c r="B2" s="270" t="s">
        <v>153</v>
      </c>
      <c r="C2" s="270" t="s">
        <v>154</v>
      </c>
      <c r="D2" s="271"/>
      <c r="G2" s="272" t="s">
        <v>155</v>
      </c>
      <c r="H2" s="273" t="s">
        <v>156</v>
      </c>
      <c r="I2" s="273" t="s">
        <v>157</v>
      </c>
      <c r="J2" s="274" t="s">
        <v>158</v>
      </c>
    </row>
    <row r="3" spans="1:18" s="277" customFormat="1" x14ac:dyDescent="0.15">
      <c r="A3" s="275" t="s">
        <v>159</v>
      </c>
      <c r="B3" s="276" t="str">
        <f>$D$3</f>
        <v>Trekker-oplegger</v>
      </c>
      <c r="C3" s="276" t="str">
        <f>$D$3</f>
        <v>Trekker-oplegger</v>
      </c>
      <c r="D3" s="276" t="str">
        <f>'TCO module ondernemers'!$B$12</f>
        <v>Trekker-oplegger</v>
      </c>
      <c r="G3" s="278" t="s">
        <v>160</v>
      </c>
      <c r="H3" s="279">
        <f>'TCO module ondernemers'!E12</f>
        <v>0</v>
      </c>
      <c r="I3" s="279">
        <f>IF(H3=0,$D$21,H3)</f>
        <v>200</v>
      </c>
      <c r="J3" s="280" t="str">
        <f>TEXT($D$21,"0")</f>
        <v>200</v>
      </c>
      <c r="K3" s="281"/>
      <c r="L3" s="281"/>
      <c r="M3" s="281"/>
      <c r="N3" s="281"/>
      <c r="O3" s="281"/>
      <c r="P3" s="281"/>
      <c r="Q3" s="281"/>
      <c r="R3" s="281"/>
    </row>
    <row r="4" spans="1:18" x14ac:dyDescent="0.15">
      <c r="A4" s="270" t="s">
        <v>161</v>
      </c>
      <c r="B4" s="282">
        <f>'TCO module ondernemers'!$B$14/ondernemers_calc!B6</f>
        <v>470.58823529411762</v>
      </c>
      <c r="C4" s="282">
        <f>'TCO module ondernemers'!$B$14/ondernemers_calc!C6</f>
        <v>470.58823529411762</v>
      </c>
      <c r="D4" s="282">
        <f>'TCO module ondernemers'!$B$14/ondernemers_calc!D6</f>
        <v>463.32046332046332</v>
      </c>
      <c r="G4" s="278" t="s">
        <v>12</v>
      </c>
      <c r="H4" s="273">
        <f>'TCO module ondernemers'!E13</f>
        <v>0</v>
      </c>
      <c r="I4" s="279">
        <f>IF(H4=0,$D$29,H4)</f>
        <v>20</v>
      </c>
      <c r="J4" s="280" t="str">
        <f>TEXT($D$29,"0")</f>
        <v>20</v>
      </c>
    </row>
    <row r="5" spans="1:18" x14ac:dyDescent="0.15">
      <c r="A5" s="270" t="s">
        <v>162</v>
      </c>
      <c r="B5" s="282">
        <f>IF('TCO module ondernemers'!$B$16=0,B$4,'TCO module ondernemers'!$B$16)</f>
        <v>700</v>
      </c>
      <c r="C5" s="282">
        <f>IF('TCO module ondernemers'!$B$16=0,C$4,'TCO module ondernemers'!$B$16)</f>
        <v>700</v>
      </c>
      <c r="D5" s="282">
        <f>IF('TCO module ondernemers'!$B$16=0,D$4,'TCO module ondernemers'!$B$16)</f>
        <v>700</v>
      </c>
      <c r="G5" s="278" t="s">
        <v>163</v>
      </c>
      <c r="H5" s="273">
        <f>'TCO module ondernemers'!E14</f>
        <v>150</v>
      </c>
      <c r="I5" s="279">
        <f>IF(H5=0,$D$42,H5)</f>
        <v>150</v>
      </c>
      <c r="J5" s="280" t="str">
        <f>TEXT($C$42,"0")</f>
        <v>150</v>
      </c>
    </row>
    <row r="6" spans="1:18" x14ac:dyDescent="0.15">
      <c r="A6" s="270" t="s">
        <v>164</v>
      </c>
      <c r="B6" s="282">
        <f>$I$34-'TCO module ondernemers'!$B$30</f>
        <v>255</v>
      </c>
      <c r="C6" s="282">
        <f>$I$34-'TCO module ondernemers'!$B$30</f>
        <v>255</v>
      </c>
      <c r="D6" s="282">
        <f>$I$34-'TCO module ondernemers'!$C$30</f>
        <v>259</v>
      </c>
      <c r="G6" s="283" t="s">
        <v>165</v>
      </c>
      <c r="H6" s="273"/>
      <c r="I6" s="273"/>
      <c r="J6" s="284"/>
    </row>
    <row r="7" spans="1:18" x14ac:dyDescent="0.15">
      <c r="A7" s="270" t="s">
        <v>166</v>
      </c>
      <c r="B7" s="285">
        <f>B4*B22+B23*B13</f>
        <v>588.23529411764707</v>
      </c>
      <c r="C7" s="285">
        <f>C4*C22+C23*C13</f>
        <v>588.23529411764707</v>
      </c>
      <c r="D7" s="285">
        <f>D4*D22+D23*D13</f>
        <v>579.15057915057912</v>
      </c>
      <c r="G7" s="278" t="s">
        <v>167</v>
      </c>
      <c r="H7" s="286">
        <f>'TCO module ondernemers'!B21</f>
        <v>0</v>
      </c>
      <c r="I7" s="287">
        <f>IF(H7=0,'TCO module beleidsmakers'!E23,H7)</f>
        <v>1.9219999999999999</v>
      </c>
      <c r="J7" s="288" t="str">
        <f>TEXT('TCO module beleidsmakers'!E23,"0,00")</f>
        <v>1,92</v>
      </c>
    </row>
    <row r="8" spans="1:18" x14ac:dyDescent="0.15">
      <c r="A8" s="270" t="s">
        <v>168</v>
      </c>
      <c r="B8" s="285">
        <f>B5*B22+B23*B13</f>
        <v>875</v>
      </c>
      <c r="C8" s="285">
        <f>C5*C22+C23*C13</f>
        <v>875</v>
      </c>
      <c r="D8" s="282" t="str">
        <f>'TCO module ondernemers'!B13</f>
        <v>niet gekoeld</v>
      </c>
      <c r="G8" s="278" t="s">
        <v>350</v>
      </c>
      <c r="H8" s="286">
        <f>'TCO module ondernemers'!B22</f>
        <v>0</v>
      </c>
      <c r="I8" s="287">
        <f>IF(H8=0,INDEX('Model parameters'!$L$36:$L$45,ondernemers_calc!B$30),H8)-'TCO module beleidsmakers'!$B$35</f>
        <v>0.13</v>
      </c>
      <c r="J8" s="288" t="str">
        <f>TEXT(INDEX('Model parameters'!$L$36:$L$45,ondernemers_calc!B$30),"0,00")</f>
        <v>0,13</v>
      </c>
    </row>
    <row r="9" spans="1:18" x14ac:dyDescent="0.15">
      <c r="A9" s="270" t="s">
        <v>169</v>
      </c>
      <c r="B9" s="289">
        <f>$D$9</f>
        <v>40.8333333333333</v>
      </c>
      <c r="C9" s="289">
        <f>$D$9</f>
        <v>40.8333333333333</v>
      </c>
      <c r="D9" s="289">
        <f>INDEX(speed,D20)</f>
        <v>40.8333333333333</v>
      </c>
      <c r="G9" s="278" t="s">
        <v>349</v>
      </c>
      <c r="H9" s="286">
        <f>'TCO module ondernemers'!B23</f>
        <v>0</v>
      </c>
      <c r="I9" s="287">
        <f>IF(H9=0,INDEX('Model parameters'!$M$36:$M$45,C44),H9)</f>
        <v>0.59</v>
      </c>
      <c r="J9" s="288" t="str">
        <f>TEXT(INDEX('Model parameters'!$M$36:$M$45,C44),"0,00")</f>
        <v>0,59</v>
      </c>
    </row>
    <row r="10" spans="1:18" x14ac:dyDescent="0.15">
      <c r="A10" s="270" t="s">
        <v>170</v>
      </c>
      <c r="B10" s="293">
        <f>$D$10</f>
        <v>0.34821428571428598</v>
      </c>
      <c r="C10" s="293">
        <f>$D$10</f>
        <v>0.34821428571428598</v>
      </c>
      <c r="D10" s="293">
        <f>INDEX(waiting,D20)</f>
        <v>0.34821428571428598</v>
      </c>
      <c r="E10" s="294"/>
      <c r="F10" s="294"/>
      <c r="G10" s="283" t="s">
        <v>110</v>
      </c>
      <c r="H10" s="273"/>
      <c r="I10" s="273"/>
      <c r="J10" s="284"/>
    </row>
    <row r="11" spans="1:18" x14ac:dyDescent="0.15">
      <c r="A11" s="270" t="s">
        <v>171</v>
      </c>
      <c r="B11" s="270">
        <f>$D$11</f>
        <v>24</v>
      </c>
      <c r="C11" s="270">
        <f>$D$11</f>
        <v>24</v>
      </c>
      <c r="D11" s="270">
        <v>24</v>
      </c>
      <c r="G11" s="278" t="s">
        <v>36</v>
      </c>
      <c r="H11" s="273">
        <f>'TCO module ondernemers'!C26</f>
        <v>5</v>
      </c>
      <c r="I11" s="295">
        <f>H11</f>
        <v>5</v>
      </c>
      <c r="J11" s="284"/>
    </row>
    <row r="12" spans="1:18" x14ac:dyDescent="0.15">
      <c r="A12" s="270" t="s">
        <v>172</v>
      </c>
      <c r="B12" s="285">
        <f>$D$12</f>
        <v>11.524609843937585</v>
      </c>
      <c r="C12" s="285">
        <f>$D$12</f>
        <v>11.524609843937585</v>
      </c>
      <c r="D12" s="285">
        <f>B4/D9</f>
        <v>11.524609843937585</v>
      </c>
      <c r="G12" s="278" t="s">
        <v>38</v>
      </c>
      <c r="H12" s="273">
        <f>'TCO module ondernemers'!C27</f>
        <v>15000</v>
      </c>
      <c r="I12" s="296">
        <f>IF(H12=0,INDEX('Model parameters'!$B$59:$B$73,$I$11)*INDEX('Model parameters'!$E$14:$E$20,ondernemers_calc!$D$20),H12)</f>
        <v>15000</v>
      </c>
      <c r="J12" s="284" t="str">
        <f>TEXT(INDEX('Model parameters'!$B$59:$B$73,$I$11)*INDEX('Model parameters'!$E$14:$E$20,ondernemers_calc!$D$20),"€ #.##0")</f>
        <v>€ 50.797</v>
      </c>
    </row>
    <row r="13" spans="1:18" x14ac:dyDescent="0.15">
      <c r="A13" s="270" t="s">
        <v>173</v>
      </c>
      <c r="B13" s="285">
        <f>$D$13</f>
        <v>16</v>
      </c>
      <c r="C13" s="285">
        <f>$D$13</f>
        <v>16</v>
      </c>
      <c r="D13" s="285">
        <f>MIN(D12/(1-D10),D11-D15)</f>
        <v>16</v>
      </c>
      <c r="G13" s="297" t="s">
        <v>40</v>
      </c>
      <c r="H13" s="273">
        <f>'TCO module ondernemers'!C28</f>
        <v>2600</v>
      </c>
      <c r="I13" s="295">
        <f>H13</f>
        <v>2600</v>
      </c>
      <c r="J13" s="284"/>
    </row>
    <row r="14" spans="1:18" x14ac:dyDescent="0.15">
      <c r="A14" s="270" t="s">
        <v>174</v>
      </c>
      <c r="B14" s="285">
        <f>$D$14</f>
        <v>3</v>
      </c>
      <c r="C14" s="285">
        <f>$D$14</f>
        <v>3</v>
      </c>
      <c r="D14" s="285">
        <f>IF('TCO module ondernemers'!E16&lt;=0,3,'TCO module ondernemers'!E16)</f>
        <v>3</v>
      </c>
      <c r="G14" s="297" t="s">
        <v>42</v>
      </c>
      <c r="H14" s="279">
        <f>'TCO module ondernemers'!C29</f>
        <v>1500</v>
      </c>
      <c r="I14" s="295">
        <f>H14</f>
        <v>1500</v>
      </c>
      <c r="J14" s="288"/>
    </row>
    <row r="15" spans="1:18" x14ac:dyDescent="0.15">
      <c r="A15" s="270" t="s">
        <v>175</v>
      </c>
      <c r="B15" s="285">
        <f>D15</f>
        <v>8</v>
      </c>
      <c r="C15" s="285">
        <f>D15</f>
        <v>8</v>
      </c>
      <c r="D15" s="285">
        <f>IF('TCO module ondernemers'!E15&lt;=0,8,'TCO module ondernemers'!E15)</f>
        <v>8</v>
      </c>
      <c r="G15" s="278" t="s">
        <v>43</v>
      </c>
      <c r="H15" s="279">
        <f>'TCO module ondernemers'!C30</f>
        <v>1</v>
      </c>
      <c r="I15" s="295">
        <f>H15</f>
        <v>1</v>
      </c>
      <c r="J15" s="298"/>
    </row>
    <row r="16" spans="1:18" x14ac:dyDescent="0.15">
      <c r="B16" s="299"/>
      <c r="C16" s="299"/>
      <c r="D16" s="300"/>
      <c r="G16" s="278" t="s">
        <v>176</v>
      </c>
      <c r="I16" s="301">
        <f>INDEX('Model parameters'!$I$14:$I$20,ondernemers_calc!$D$20)</f>
        <v>0.318</v>
      </c>
      <c r="J16" s="288"/>
    </row>
    <row r="17" spans="1:10" x14ac:dyDescent="0.15">
      <c r="A17" s="302" t="s">
        <v>177</v>
      </c>
      <c r="B17" s="302" t="str">
        <f>B3</f>
        <v>Trekker-oplegger</v>
      </c>
      <c r="C17" s="302" t="str">
        <f>C3</f>
        <v>Trekker-oplegger</v>
      </c>
      <c r="D17" s="303"/>
      <c r="G17" s="272" t="s">
        <v>109</v>
      </c>
      <c r="H17" s="279"/>
      <c r="I17" s="279"/>
      <c r="J17" s="288"/>
    </row>
    <row r="18" spans="1:10" x14ac:dyDescent="0.15">
      <c r="A18" s="302" t="s">
        <v>177</v>
      </c>
      <c r="B18" s="302">
        <f>MATCH(B17,'Model parameters'!$A$4:$A$10,0)</f>
        <v>7</v>
      </c>
      <c r="C18" s="302">
        <f>MATCH(C17,'Model parameters'!$A$4:$A$10,0)</f>
        <v>7</v>
      </c>
      <c r="D18" s="303"/>
      <c r="G18" s="278" t="s">
        <v>36</v>
      </c>
      <c r="H18" s="279">
        <f>'TCO module ondernemers'!B26</f>
        <v>5</v>
      </c>
      <c r="I18" s="295">
        <f>H18</f>
        <v>5</v>
      </c>
      <c r="J18" s="288"/>
    </row>
    <row r="19" spans="1:10" x14ac:dyDescent="0.15">
      <c r="A19" s="304"/>
      <c r="B19" s="304"/>
      <c r="C19" s="304"/>
      <c r="D19" s="305"/>
      <c r="G19" s="278" t="s">
        <v>38</v>
      </c>
      <c r="H19" s="279">
        <f>'TCO module ondernemers'!B27</f>
        <v>0</v>
      </c>
      <c r="I19" s="296">
        <f>IF(H19&lt;=0,INDEX('Model parameters'!$B$59:$B$73,$I$18)*INDEX('Model parameters'!$E$4:$E$10,$C$18),H19)</f>
        <v>102092.14075281723</v>
      </c>
      <c r="J19" s="284" t="str">
        <f>TEXT(INDEX('Model parameters'!$B$59:$B$73,$I$18)*INDEX('Model parameters'!$E$4:$E$10,$C$18),"€ #.##0")</f>
        <v>€ 102.092</v>
      </c>
    </row>
    <row r="20" spans="1:10" x14ac:dyDescent="0.15">
      <c r="A20" s="269" t="s">
        <v>178</v>
      </c>
      <c r="B20" s="306">
        <f>$D$20</f>
        <v>7</v>
      </c>
      <c r="C20" s="306">
        <f>$D$20</f>
        <v>7</v>
      </c>
      <c r="D20" s="306">
        <f>MATCH(ondernemers_calc!D$3,'Model parameters'!$A$14:$A$20,0)</f>
        <v>7</v>
      </c>
      <c r="G20" s="297" t="s">
        <v>40</v>
      </c>
      <c r="H20" s="279">
        <f>'TCO module ondernemers'!B28</f>
        <v>2559.8455598455598</v>
      </c>
      <c r="I20" s="295">
        <f>H20</f>
        <v>2559.8455598455598</v>
      </c>
      <c r="J20" s="288"/>
    </row>
    <row r="21" spans="1:10" x14ac:dyDescent="0.15">
      <c r="A21" s="270" t="s">
        <v>179</v>
      </c>
      <c r="B21" s="289">
        <f>$I$3</f>
        <v>200</v>
      </c>
      <c r="C21" s="289">
        <f>$I$3</f>
        <v>200</v>
      </c>
      <c r="D21" s="289">
        <f>IF(D$7/80%&gt;$E$24,$E$24,INDEX($E$21:$E$23,MATCH(D$7/80%,$E$21:$E$23,-1)))</f>
        <v>200</v>
      </c>
      <c r="E21" s="307">
        <f>INDEX('Model parameters'!$B$25:$H$27,1,ondernemers_calc!$D$20)</f>
        <v>200</v>
      </c>
      <c r="G21" s="297" t="s">
        <v>42</v>
      </c>
      <c r="H21" s="279">
        <f>'TCO module ondernemers'!B29</f>
        <v>5000</v>
      </c>
      <c r="I21" s="295">
        <f>H21</f>
        <v>5000</v>
      </c>
      <c r="J21" s="288"/>
    </row>
    <row r="22" spans="1:10" x14ac:dyDescent="0.15">
      <c r="A22" s="270" t="s">
        <v>180</v>
      </c>
      <c r="B22" s="308">
        <f>INDEX(EC_rate,B$20)</f>
        <v>1.25</v>
      </c>
      <c r="C22" s="308">
        <f>INDEX(EC_rate,C$20)</f>
        <v>1.25</v>
      </c>
      <c r="D22" s="308">
        <f>INDEX(EC_rate,D$20)</f>
        <v>1.25</v>
      </c>
      <c r="E22" s="309">
        <f>INDEX('Model parameters'!$B$25:$H$27,2,ondernemers_calc!$D$20)</f>
        <v>0</v>
      </c>
      <c r="G22" s="278" t="s">
        <v>43</v>
      </c>
      <c r="H22" s="279">
        <f>'TCO module ondernemers'!B30</f>
        <v>5</v>
      </c>
      <c r="I22" s="295">
        <f>H22</f>
        <v>5</v>
      </c>
      <c r="J22" s="288"/>
    </row>
    <row r="23" spans="1:10" x14ac:dyDescent="0.15">
      <c r="A23" s="270" t="s">
        <v>181</v>
      </c>
      <c r="B23" s="308">
        <f>IF($D$8="gekoeld",INDEX(refrigeration,B$20),0)</f>
        <v>0</v>
      </c>
      <c r="C23" s="308">
        <f>IF($D$8="gekoeld",INDEX(refrigeration,C$20),0)</f>
        <v>0</v>
      </c>
      <c r="D23" s="308">
        <f>IF($D$8="gekoeld",INDEX(refrigeration,D$20),0)</f>
        <v>0</v>
      </c>
      <c r="E23" s="309">
        <f>INDEX('Model parameters'!$B$25:$H$27,3,ondernemers_calc!$D$20)</f>
        <v>0</v>
      </c>
      <c r="G23" s="278" t="s">
        <v>27</v>
      </c>
      <c r="H23" s="279"/>
      <c r="I23" s="279"/>
      <c r="J23" s="288"/>
    </row>
    <row r="24" spans="1:10" x14ac:dyDescent="0.15">
      <c r="B24" s="310"/>
      <c r="C24" s="311"/>
      <c r="E24" s="312">
        <f>E21</f>
        <v>200</v>
      </c>
      <c r="G24" s="297" t="s">
        <v>29</v>
      </c>
      <c r="H24" s="279">
        <f>'TCO module ondernemers'!E21</f>
        <v>0</v>
      </c>
      <c r="I24" s="296">
        <f>IF(H24&lt;=0,INDEX('Model parameters'!$E$4:$E$10,ondernemers_calc!$C$18),H24)</f>
        <v>290416</v>
      </c>
      <c r="J24" s="288" t="str">
        <f>TEXT(INDEX('Model parameters'!$E$4:$E$10,ondernemers_calc!$C$18),"€ #.##0")</f>
        <v>€ 290.416</v>
      </c>
    </row>
    <row r="25" spans="1:10" x14ac:dyDescent="0.15">
      <c r="A25" s="269" t="s">
        <v>182</v>
      </c>
      <c r="B25" s="270"/>
      <c r="C25" s="270"/>
      <c r="D25" s="289"/>
      <c r="G25" s="278" t="s">
        <v>183</v>
      </c>
      <c r="H25" s="279">
        <f>'TCO module ondernemers'!E23</f>
        <v>0</v>
      </c>
      <c r="I25" s="295">
        <f>H25</f>
        <v>0</v>
      </c>
      <c r="J25" s="288"/>
    </row>
    <row r="26" spans="1:10" x14ac:dyDescent="0.15">
      <c r="A26" s="270" t="s">
        <v>184</v>
      </c>
      <c r="B26" s="313">
        <f>B15</f>
        <v>8</v>
      </c>
      <c r="C26" s="313">
        <f>C15</f>
        <v>8</v>
      </c>
      <c r="D26" s="313">
        <f>D15</f>
        <v>8</v>
      </c>
      <c r="G26" s="278" t="s">
        <v>185</v>
      </c>
      <c r="H26" s="279"/>
      <c r="I26" s="279"/>
      <c r="J26" s="288"/>
    </row>
    <row r="27" spans="1:10" x14ac:dyDescent="0.15">
      <c r="A27" s="270" t="s">
        <v>186</v>
      </c>
      <c r="B27" s="313">
        <f>B21*80%</f>
        <v>160</v>
      </c>
      <c r="C27" s="313">
        <f>C21*80%</f>
        <v>160</v>
      </c>
      <c r="D27" s="313">
        <f>D21*80%</f>
        <v>160</v>
      </c>
      <c r="G27" s="278" t="s">
        <v>39</v>
      </c>
      <c r="H27" s="279">
        <f>'TCO module ondernemers'!E27</f>
        <v>0</v>
      </c>
      <c r="I27" s="296">
        <f>IF(H27&lt;=0,INDEX('Model parameters'!$I$36:$I$45,ondernemers_calc!$C$30),H27)</f>
        <v>2200</v>
      </c>
      <c r="J27" s="288"/>
    </row>
    <row r="28" spans="1:10" x14ac:dyDescent="0.15">
      <c r="A28" s="270" t="s">
        <v>187</v>
      </c>
      <c r="B28" s="313">
        <f>B27/B26</f>
        <v>20</v>
      </c>
      <c r="C28" s="313">
        <f>C27/C26</f>
        <v>20</v>
      </c>
      <c r="D28" s="313">
        <f>D27/D26</f>
        <v>20</v>
      </c>
      <c r="G28" s="278" t="s">
        <v>41</v>
      </c>
      <c r="H28" s="279">
        <f>'TCO module ondernemers'!$E$28</f>
        <v>0</v>
      </c>
      <c r="I28" s="296">
        <f>IF(H28&lt;=0,INDEX('Model parameters'!$J$36:$J$45,ondernemers_calc!$C$30),H28)</f>
        <v>620</v>
      </c>
      <c r="J28" s="288"/>
    </row>
    <row r="29" spans="1:10" x14ac:dyDescent="0.15">
      <c r="A29" s="270" t="s">
        <v>188</v>
      </c>
      <c r="B29" s="313">
        <f>$I$4</f>
        <v>20</v>
      </c>
      <c r="C29" s="313">
        <f>$I$4</f>
        <v>20</v>
      </c>
      <c r="D29" s="313">
        <f>IF(D28&gt;'Model parameters'!$B$49,'Model parameters'!$B$49,INDEX('Model parameters'!$B$49:$B$53,MATCH(D$28,'Model parameters'!$B$49:$B$53,-1)))</f>
        <v>20</v>
      </c>
      <c r="G29" s="278" t="s">
        <v>189</v>
      </c>
      <c r="H29" s="279">
        <f>'TCO module ondernemers'!E29</f>
        <v>0</v>
      </c>
      <c r="I29" s="295">
        <f>H29</f>
        <v>0</v>
      </c>
      <c r="J29" s="288"/>
    </row>
    <row r="30" spans="1:10" x14ac:dyDescent="0.15">
      <c r="A30" s="270" t="s">
        <v>177</v>
      </c>
      <c r="B30" s="314">
        <f>SUMIFS('Model parameters'!$A$36:$A$45,'Model parameters'!$D$36:$D$45,"Privaat",'Model parameters'!$E$36:$E$45,B$29)</f>
        <v>4</v>
      </c>
      <c r="C30" s="314">
        <f>SUMIFS('Model parameters'!$A$36:$A$45,'Model parameters'!$D$36:$D$45,"Privaat",'Model parameters'!$E$36:$E$45,C$29)</f>
        <v>4</v>
      </c>
      <c r="D30" s="314">
        <f>SUMIFS('Model parameters'!$A$36:$A$45,'Model parameters'!$D$36:$D$45,"Privaat",'Model parameters'!$E$36:$E$45,D$29)</f>
        <v>4</v>
      </c>
      <c r="G30" s="278" t="s">
        <v>190</v>
      </c>
      <c r="I30" s="308">
        <f>INDEX('Model parameters'!$G$14:$G$20,ondernemers_calc!$C$20)</f>
        <v>1.25</v>
      </c>
    </row>
    <row r="31" spans="1:10" x14ac:dyDescent="0.15">
      <c r="A31" s="270" t="s">
        <v>191</v>
      </c>
      <c r="B31" s="315">
        <f>B30</f>
        <v>4</v>
      </c>
      <c r="C31" s="315">
        <f>C30</f>
        <v>4</v>
      </c>
      <c r="D31" s="315">
        <f>D30</f>
        <v>4</v>
      </c>
      <c r="G31" s="278" t="s">
        <v>192</v>
      </c>
      <c r="H31" s="316"/>
      <c r="I31" s="317">
        <f>'TCO module ondernemers'!$B$14</f>
        <v>120000</v>
      </c>
    </row>
    <row r="32" spans="1:10" x14ac:dyDescent="0.15">
      <c r="A32" s="318" t="s">
        <v>193</v>
      </c>
      <c r="B32" s="310">
        <f>B27/B29</f>
        <v>8</v>
      </c>
      <c r="C32" s="310">
        <f>C27/C29</f>
        <v>8</v>
      </c>
      <c r="G32" s="278" t="s">
        <v>194</v>
      </c>
      <c r="H32" s="316"/>
      <c r="I32" s="317">
        <f>D4*C6</f>
        <v>118146.71814671815</v>
      </c>
    </row>
    <row r="33" spans="1:11" x14ac:dyDescent="0.15">
      <c r="B33" s="310"/>
      <c r="C33" s="310"/>
      <c r="G33" s="278" t="s">
        <v>195</v>
      </c>
      <c r="I33" s="308">
        <f>INDEX('Model parameters'!$K$14:$K$20,ondernemers_calc!B$20)</f>
        <v>3.0438E-2</v>
      </c>
    </row>
    <row r="34" spans="1:11" x14ac:dyDescent="0.15">
      <c r="A34" s="319" t="s">
        <v>196</v>
      </c>
      <c r="B34" s="285">
        <f>MIN(B27,B21*INDEX('Model parameters'!$F$36:$F$45,B$31))</f>
        <v>160</v>
      </c>
      <c r="C34" s="285">
        <f>MIN(C27,C21*INDEX('Model parameters'!$F$36:$F$45,C$31),C29*C26)</f>
        <v>160</v>
      </c>
      <c r="G34" s="278" t="s">
        <v>197</v>
      </c>
      <c r="H34" s="320">
        <f>'TCO module ondernemers'!$C$28/10</f>
        <v>260</v>
      </c>
      <c r="I34" s="317">
        <f>IF(H34&lt;=0,260,H34)</f>
        <v>260</v>
      </c>
    </row>
    <row r="35" spans="1:11" x14ac:dyDescent="0.15">
      <c r="A35" s="270" t="s">
        <v>198</v>
      </c>
      <c r="B35" s="285">
        <f>MIN(B$34,B$7)</f>
        <v>160</v>
      </c>
      <c r="C35" s="285">
        <f>MIN(C$34,C$7)</f>
        <v>160</v>
      </c>
      <c r="G35" s="278" t="s">
        <v>199</v>
      </c>
      <c r="H35" s="316"/>
      <c r="I35" s="317">
        <f>D13*D6</f>
        <v>4144</v>
      </c>
    </row>
    <row r="36" spans="1:11" x14ac:dyDescent="0.15">
      <c r="A36" s="321" t="s">
        <v>200</v>
      </c>
      <c r="B36" s="285">
        <f>MIN(B$34,B$8)</f>
        <v>160</v>
      </c>
      <c r="C36" s="285">
        <f>MIN(C$34,C$8)</f>
        <v>160</v>
      </c>
    </row>
    <row r="37" spans="1:11" x14ac:dyDescent="0.15">
      <c r="A37" s="269" t="s">
        <v>201</v>
      </c>
      <c r="B37" s="270"/>
      <c r="C37" s="270"/>
    </row>
    <row r="38" spans="1:11" x14ac:dyDescent="0.15">
      <c r="A38" s="270" t="s">
        <v>202</v>
      </c>
      <c r="B38" s="285">
        <f>IF(B7-SUM(B35:B35)&gt;0,B7-SUM(B35:B35),0)</f>
        <v>428.23529411764707</v>
      </c>
      <c r="C38" s="285">
        <f>IF(C7-SUM(C35:C35)&gt;0,C7-SUM(C35:C35),0)</f>
        <v>428.23529411764707</v>
      </c>
      <c r="G38" s="322" t="s">
        <v>203</v>
      </c>
      <c r="H38" s="279"/>
      <c r="I38" s="270"/>
    </row>
    <row r="39" spans="1:11" x14ac:dyDescent="0.15">
      <c r="A39" s="270" t="s">
        <v>204</v>
      </c>
      <c r="B39" s="313">
        <f>$D$14</f>
        <v>3</v>
      </c>
      <c r="C39" s="313">
        <f>$D$14</f>
        <v>3</v>
      </c>
      <c r="G39" s="278" t="s">
        <v>205</v>
      </c>
      <c r="I39" s="323">
        <f>IF(H40&lt;=0,INDEX('Model parameters'!$E$14:$E$20,ondernemers_calc!$D$20),H40)</f>
        <v>144500</v>
      </c>
    </row>
    <row r="40" spans="1:11" x14ac:dyDescent="0.15">
      <c r="A40" s="306" t="s">
        <v>206</v>
      </c>
      <c r="B40" s="324"/>
      <c r="C40" s="270">
        <f>IFERROR(ROUNDUP(C38/C46,0),0)</f>
        <v>4</v>
      </c>
      <c r="G40" s="278" t="s">
        <v>207</v>
      </c>
      <c r="H40" s="279">
        <f>'TCO module ondernemers'!C31</f>
        <v>0</v>
      </c>
      <c r="I40" s="323">
        <f>IF(H40&lt;=0,(I39-$I$12)/$I$11,H40)</f>
        <v>25900</v>
      </c>
    </row>
    <row r="41" spans="1:11" x14ac:dyDescent="0.15">
      <c r="A41" s="306" t="s">
        <v>187</v>
      </c>
      <c r="B41" s="325"/>
      <c r="C41" s="285">
        <f>C38/C39</f>
        <v>142.74509803921569</v>
      </c>
      <c r="G41" s="278" t="s">
        <v>208</v>
      </c>
      <c r="H41" s="279"/>
      <c r="I41" s="323">
        <f>(I24-I25-I19)/$I$18</f>
        <v>37664.771849436554</v>
      </c>
    </row>
    <row r="42" spans="1:11" x14ac:dyDescent="0.15">
      <c r="A42" s="306" t="s">
        <v>188</v>
      </c>
      <c r="B42" s="324"/>
      <c r="C42" s="285">
        <f>$I$5</f>
        <v>150</v>
      </c>
      <c r="D42" s="285">
        <f>IF(D41&gt;350,350,INDEX('Model parameters'!$C$49:$C$53,MATCH(D$41,'Model parameters'!$C$49:$C$53,-1)))</f>
        <v>10</v>
      </c>
      <c r="G42" s="278" t="s">
        <v>209</v>
      </c>
      <c r="H42" s="279">
        <f>E23</f>
        <v>0</v>
      </c>
      <c r="I42" s="323">
        <f>H42/I18</f>
        <v>0</v>
      </c>
      <c r="K42" s="326"/>
    </row>
    <row r="43" spans="1:11" x14ac:dyDescent="0.15">
      <c r="A43" s="270" t="s">
        <v>177</v>
      </c>
      <c r="B43" s="324"/>
      <c r="C43" s="270">
        <f>SUMIFS('Model parameters'!$A$36:$A$45,'Model parameters'!$D$36:$D$45,"Publiek",'Model parameters'!$E$36:$E$45,C$42)</f>
        <v>7</v>
      </c>
      <c r="G43" s="278" t="s">
        <v>210</v>
      </c>
      <c r="H43" s="279"/>
      <c r="I43" s="323">
        <f>0</f>
        <v>0</v>
      </c>
      <c r="K43" s="326"/>
    </row>
    <row r="44" spans="1:11" x14ac:dyDescent="0.15">
      <c r="A44" s="270" t="s">
        <v>211</v>
      </c>
      <c r="B44" s="327"/>
      <c r="C44" s="315">
        <f>C43</f>
        <v>7</v>
      </c>
    </row>
    <row r="45" spans="1:11" x14ac:dyDescent="0.15">
      <c r="B45" s="310"/>
      <c r="C45" s="310"/>
    </row>
    <row r="46" spans="1:11" x14ac:dyDescent="0.15">
      <c r="A46" s="269" t="s">
        <v>212</v>
      </c>
      <c r="B46" s="289">
        <f>MIN(B$21*70%,B42*B39)</f>
        <v>0</v>
      </c>
      <c r="C46" s="289">
        <f>MIN(C$21*70%,C42*C39)</f>
        <v>140</v>
      </c>
    </row>
    <row r="47" spans="1:11" x14ac:dyDescent="0.15">
      <c r="A47" s="270" t="s">
        <v>198</v>
      </c>
      <c r="B47" s="285">
        <f>MIN(B$38,B$46*B40)</f>
        <v>0</v>
      </c>
      <c r="C47" s="285">
        <f>MIN(C$38,C$42*C39)</f>
        <v>428.23529411764707</v>
      </c>
    </row>
    <row r="48" spans="1:11" x14ac:dyDescent="0.15">
      <c r="A48" s="270" t="s">
        <v>213</v>
      </c>
      <c r="B48" s="285">
        <v>0</v>
      </c>
      <c r="C48" s="285">
        <f>C47/C42</f>
        <v>2.8549019607843138</v>
      </c>
    </row>
    <row r="49" spans="1:4" x14ac:dyDescent="0.15">
      <c r="A49" s="270" t="s">
        <v>214</v>
      </c>
      <c r="B49" s="289" t="str">
        <f>IF(B34&lt;B7,"No, please increase the power","Yes")</f>
        <v>No, please increase the power</v>
      </c>
      <c r="C49" s="289" t="str">
        <f>IF(C47&lt;C38,"No, please increase the power","Yes")</f>
        <v>Yes</v>
      </c>
    </row>
    <row r="50" spans="1:4" x14ac:dyDescent="0.15">
      <c r="A50" s="321" t="s">
        <v>215</v>
      </c>
      <c r="B50" s="289" t="str">
        <f>IF(B34&lt;B8,"No, please increase the power","Yes")</f>
        <v>No, please increase the power</v>
      </c>
      <c r="C50" s="289" t="str">
        <f>IF(C8&gt;C42*C39+C34,"No, please increase the power","Yes")</f>
        <v>No, please increase the power</v>
      </c>
    </row>
    <row r="51" spans="1:4" x14ac:dyDescent="0.15">
      <c r="B51" s="328"/>
      <c r="C51" s="328"/>
    </row>
    <row r="52" spans="1:4" x14ac:dyDescent="0.15">
      <c r="A52" s="269" t="s">
        <v>216</v>
      </c>
      <c r="B52" s="329"/>
      <c r="C52" s="329"/>
    </row>
    <row r="53" spans="1:4" x14ac:dyDescent="0.15">
      <c r="A53" s="270" t="s">
        <v>217</v>
      </c>
      <c r="B53" s="329">
        <f>INDEX('Model parameters'!$K$14:$K$20,ondernemers_calc!B$20)*D$4*B$6</f>
        <v>3596.149806949807</v>
      </c>
      <c r="C53" s="329">
        <f>INDEX('Model parameters'!$K$14:$K$20,ondernemers_calc!C$20)*D$4*C$6</f>
        <v>3596.149806949807</v>
      </c>
    </row>
    <row r="54" spans="1:4" x14ac:dyDescent="0.15">
      <c r="A54" s="270" t="s">
        <v>218</v>
      </c>
      <c r="B54" s="329">
        <f>IFERROR(B$35*B$6*$I$8,0)</f>
        <v>5304</v>
      </c>
      <c r="C54" s="329">
        <f>IFERROR(C$35*C$6*I8,0)</f>
        <v>5304</v>
      </c>
    </row>
    <row r="55" spans="1:4" x14ac:dyDescent="0.15">
      <c r="A55" s="270" t="s">
        <v>219</v>
      </c>
      <c r="B55" s="329"/>
      <c r="C55" s="329">
        <f>IFERROR(IF(C49="Yes",C$47*I9*C$6,"Inadequate external charging"),0)</f>
        <v>64428</v>
      </c>
    </row>
    <row r="57" spans="1:4" x14ac:dyDescent="0.15">
      <c r="A57" s="330" t="str">
        <f>'TCO module ondernemers'!A34</f>
        <v>Scenario</v>
      </c>
      <c r="B57" s="331" t="str">
        <f>'TCO module ondernemers'!C34</f>
        <v>Uitsluitend thuis opladen</v>
      </c>
      <c r="C57" s="332" t="str">
        <f>'TCO module ondernemers'!D34</f>
        <v xml:space="preserve">Optimale mix </v>
      </c>
      <c r="D57" s="333" t="str">
        <f>'TCO module ondernemers'!E34</f>
        <v>Diesel</v>
      </c>
    </row>
    <row r="58" spans="1:4" ht="21" x14ac:dyDescent="0.15">
      <c r="A58" s="334" t="str">
        <f>'TCO module ondernemers'!A35</f>
        <v>Scenario technisch mogelijk/niet mogelijk</v>
      </c>
      <c r="B58" s="335" t="str">
        <f>'TCO module ondernemers'!C35</f>
        <v>Vehicle technology insufficient</v>
      </c>
      <c r="C58" s="335" t="str">
        <f>'TCO module ondernemers'!D35</f>
        <v>Scenario valid</v>
      </c>
      <c r="D58" s="336" t="str">
        <f>'TCO module ondernemers'!E35</f>
        <v>Scenario valid</v>
      </c>
    </row>
    <row r="59" spans="1:4" x14ac:dyDescent="0.15">
      <c r="B59" s="277"/>
      <c r="C59" s="277"/>
      <c r="D59" s="277"/>
    </row>
    <row r="60" spans="1:4" x14ac:dyDescent="0.15">
      <c r="A60" s="330" t="str">
        <f>'TCO module ondernemers'!A37</f>
        <v>Voertuigtype</v>
      </c>
      <c r="B60" s="331" t="str">
        <f>'TCO module ondernemers'!C37</f>
        <v>Trekker-oplegger</v>
      </c>
      <c r="C60" s="331" t="str">
        <f>'TCO module ondernemers'!D37</f>
        <v>Trekker-oplegger</v>
      </c>
      <c r="D60" s="333" t="str">
        <f>'TCO module ondernemers'!E37</f>
        <v>Trekker-oplegger</v>
      </c>
    </row>
    <row r="61" spans="1:4" x14ac:dyDescent="0.15">
      <c r="A61" s="337" t="str">
        <f>'TCO module ondernemers'!A38</f>
        <v>Eigen oplaadsysteem</v>
      </c>
      <c r="B61" s="338" t="str">
        <f>'TCO module ondernemers'!C38</f>
        <v>AC20</v>
      </c>
      <c r="C61" s="338" t="str">
        <f>'TCO module ondernemers'!D38</f>
        <v>AC20</v>
      </c>
      <c r="D61" s="339" t="str">
        <f>'TCO module ondernemers'!E38</f>
        <v>nvt</v>
      </c>
    </row>
    <row r="62" spans="1:4" x14ac:dyDescent="0.15">
      <c r="A62" s="334" t="str">
        <f>'TCO module ondernemers'!A39</f>
        <v>Openbaar oplaadsysteem</v>
      </c>
      <c r="B62" s="335" t="str">
        <f>'TCO module ondernemers'!C39</f>
        <v>None</v>
      </c>
      <c r="C62" s="335" t="str">
        <f>'TCO module ondernemers'!D39</f>
        <v>HPC150</v>
      </c>
      <c r="D62" s="336" t="str">
        <f>'TCO module ondernemers'!E39</f>
        <v>nvt</v>
      </c>
    </row>
    <row r="63" spans="1:4" x14ac:dyDescent="0.15">
      <c r="B63" s="277"/>
      <c r="C63" s="277"/>
      <c r="D63" s="277"/>
    </row>
    <row r="64" spans="1:4" x14ac:dyDescent="0.15">
      <c r="A64" s="340" t="s">
        <v>220</v>
      </c>
      <c r="B64" s="341"/>
      <c r="C64" s="341"/>
      <c r="D64" s="342">
        <f>SUM('TCO module ondernemers'!$E$65,'TCO module ondernemers'!$E$66)/'TCO module beleidsmakers'!$E$23</f>
        <v>38159.999999999993</v>
      </c>
    </row>
    <row r="65" spans="1:4" x14ac:dyDescent="0.15">
      <c r="A65" s="343" t="s">
        <v>221</v>
      </c>
      <c r="B65" s="344"/>
      <c r="C65" s="345"/>
      <c r="D65" s="346">
        <f>INDEX('Model parameters'!$B$77:$E$83,ondernemers_calc!$D$20,1)/1000*D64</f>
        <v>123606.49438612502</v>
      </c>
    </row>
    <row r="66" spans="1:4" x14ac:dyDescent="0.15">
      <c r="A66" s="343" t="s">
        <v>222</v>
      </c>
      <c r="B66" s="344"/>
      <c r="C66" s="345"/>
      <c r="D66" s="346">
        <f>INDEX('Model parameters'!$B$77:$E$83,ondernemers_calc!$D$20,2)*$D$64</f>
        <v>1754.2176346438166</v>
      </c>
    </row>
    <row r="67" spans="1:4" x14ac:dyDescent="0.15">
      <c r="A67" s="347" t="s">
        <v>223</v>
      </c>
      <c r="B67" s="348"/>
      <c r="C67" s="349"/>
      <c r="D67" s="350">
        <f>INDEX('Model parameters'!$B$77:$E$83,ondernemers_calc!$D$20,3)*$D$64</f>
        <v>302782.57699768443</v>
      </c>
    </row>
    <row r="68" spans="1:4" x14ac:dyDescent="0.15">
      <c r="B68" s="277"/>
      <c r="C68" s="291"/>
      <c r="D68" s="291"/>
    </row>
    <row r="69" spans="1:4" x14ac:dyDescent="0.15">
      <c r="A69" s="351" t="s">
        <v>224</v>
      </c>
      <c r="B69" s="352" t="e">
        <f>IF(B$58="Scenario valid",(IFERROR(ondernemers_calc!B$35/INDEX('Model parameters'!$G$36:$G$45,ondernemers_calc!B$31),0)+IFERROR(ondernemers_calc!B$47/INDEX('Model parameters'!$G$36:$G$45,ondernemers_calc!B$44),0))*ondernemers_calc!$B$6/'Model parameters'!$B$94,NA())</f>
        <v>#N/A</v>
      </c>
      <c r="C69" s="352">
        <f>IF(C$58="Scenario valid",(IFERROR(ondernemers_calc!C$35/INDEX('Model parameters'!$G$36:$G$45,ondernemers_calc!C$31),0)+IFERROR(ondernemers_calc!C$47/INDEX('Model parameters'!$G$36:$G$45,ondernemers_calc!C$44),0))*ondernemers_calc!$C$6/'Model parameters'!$B$94,NA())</f>
        <v>176276.88810512776</v>
      </c>
      <c r="D69" s="353"/>
    </row>
    <row r="70" spans="1:4" x14ac:dyDescent="0.15">
      <c r="A70" s="255" t="s">
        <v>225</v>
      </c>
      <c r="B70" s="354" t="e">
        <f>IF(B$58="Scenario valid",'Model parameters'!$B$87*B$69,NA())</f>
        <v>#N/A</v>
      </c>
      <c r="C70" s="354">
        <f>IF(C$58="Scenario valid",'Model parameters'!$B$87*C$69,NA())</f>
        <v>65105.647506272471</v>
      </c>
      <c r="D70" s="355"/>
    </row>
    <row r="71" spans="1:4" x14ac:dyDescent="0.15">
      <c r="A71" s="255" t="s">
        <v>226</v>
      </c>
      <c r="B71" s="354" t="e">
        <f>IF(B$58="Scenario valid",'Model parameters'!$B$88*B$69,NA())</f>
        <v>#N/A</v>
      </c>
      <c r="C71" s="354">
        <f>IF(C$58="Scenario valid",'Model parameters'!$B$88*C$69,NA())</f>
        <v>0</v>
      </c>
      <c r="D71" s="355"/>
    </row>
    <row r="72" spans="1:4" x14ac:dyDescent="0.15">
      <c r="A72" s="356" t="s">
        <v>227</v>
      </c>
      <c r="B72" s="357" t="e">
        <f>IF(B$58="Scenario valid",'Model parameters'!$B$89*B$69,NA())</f>
        <v>#N/A</v>
      </c>
      <c r="C72" s="357">
        <f>IF(C$58="Scenario valid",'Model parameters'!$B$89*C$69,NA())</f>
        <v>80546.370176057375</v>
      </c>
      <c r="D72" s="358"/>
    </row>
    <row r="73" spans="1:4" x14ac:dyDescent="0.15">
      <c r="B73" s="277"/>
      <c r="C73" s="277"/>
      <c r="D73" s="277"/>
    </row>
    <row r="74" spans="1:4" x14ac:dyDescent="0.15">
      <c r="A74" s="359" t="s">
        <v>228</v>
      </c>
      <c r="B74" s="360">
        <f>$I$32</f>
        <v>118146.71814671815</v>
      </c>
      <c r="C74" s="360">
        <f>$I$32</f>
        <v>118146.71814671815</v>
      </c>
      <c r="D74" s="361">
        <f>$I$31</f>
        <v>120000</v>
      </c>
    </row>
    <row r="75" spans="1:4" x14ac:dyDescent="0.15">
      <c r="A75" s="362" t="s">
        <v>229</v>
      </c>
      <c r="B75" s="363" t="e">
        <f>IF(B$58="Scenario valid",INDEX('Model parameters'!$E$77:$E$83,ondernemers_calc!$D$20)*$B$74,NA())</f>
        <v>#N/A</v>
      </c>
      <c r="C75" s="363">
        <f>IF(C$58="Scenario valid",INDEX('Model parameters'!$E$77:$E$83,ondernemers_calc!$D$20)*$C$74,NA())</f>
        <v>8061.5383346257686</v>
      </c>
      <c r="D75" s="364">
        <f>IF(D$58="Scenario valid",INDEX('Model parameters'!$E$77:$E$83,ondernemers_calc!$D$20)*$D$74,NA())</f>
        <v>8187.9938379140158</v>
      </c>
    </row>
    <row r="76" spans="1:4" x14ac:dyDescent="0.15">
      <c r="B76" s="277"/>
      <c r="C76" s="277"/>
      <c r="D76" s="277"/>
    </row>
    <row r="77" spans="1:4" x14ac:dyDescent="0.15">
      <c r="A77" t="s">
        <v>230</v>
      </c>
      <c r="B77" s="277"/>
      <c r="C77" s="277"/>
      <c r="D77" s="277"/>
    </row>
    <row r="78" spans="1:4" x14ac:dyDescent="0.15">
      <c r="A78" s="365" t="s">
        <v>231</v>
      </c>
      <c r="B78" s="366"/>
      <c r="C78" s="366"/>
      <c r="D78" s="367"/>
    </row>
    <row r="79" spans="1:4" x14ac:dyDescent="0.15">
      <c r="A79" s="368" t="s">
        <v>232</v>
      </c>
      <c r="B79" s="369" t="e">
        <f>B70/1000</f>
        <v>#N/A</v>
      </c>
      <c r="C79" s="369">
        <f>C70/1000</f>
        <v>65.105647506272476</v>
      </c>
      <c r="D79" s="370">
        <f>D65/1000</f>
        <v>123.60649438612502</v>
      </c>
    </row>
    <row r="80" spans="1:4" x14ac:dyDescent="0.15">
      <c r="A80" s="368" t="s">
        <v>233</v>
      </c>
      <c r="B80" s="369" t="e">
        <f>(B71+B75)/10^3</f>
        <v>#N/A</v>
      </c>
      <c r="C80" s="369">
        <f>(C71+C75)/10^3</f>
        <v>8.0615383346257694</v>
      </c>
      <c r="D80" s="370">
        <f>(D66+D75)/10^3</f>
        <v>9.9422114725578314</v>
      </c>
    </row>
    <row r="81" spans="1:4" x14ac:dyDescent="0.15">
      <c r="A81" s="371" t="s">
        <v>234</v>
      </c>
      <c r="B81" s="372" t="e">
        <f>B72/10^3</f>
        <v>#N/A</v>
      </c>
      <c r="C81" s="372">
        <f>C72/10^3</f>
        <v>80.54637017605738</v>
      </c>
      <c r="D81" s="373">
        <f>D67/10^3</f>
        <v>302.78257699768443</v>
      </c>
    </row>
    <row r="82" spans="1:4" x14ac:dyDescent="0.15">
      <c r="B82" s="374"/>
      <c r="C82" s="374"/>
      <c r="D82" s="374"/>
    </row>
    <row r="83" spans="1:4" x14ac:dyDescent="0.15">
      <c r="A83" s="375" t="s">
        <v>235</v>
      </c>
      <c r="B83" s="376"/>
      <c r="C83" s="376"/>
      <c r="D83" s="377"/>
    </row>
    <row r="84" spans="1:4" x14ac:dyDescent="0.15">
      <c r="A84" s="378" t="s">
        <v>232</v>
      </c>
      <c r="B84" s="379">
        <f>0</f>
        <v>0</v>
      </c>
      <c r="C84" s="379">
        <f>0</f>
        <v>0</v>
      </c>
      <c r="D84" s="380">
        <f>D79</f>
        <v>123.60649438612502</v>
      </c>
    </row>
    <row r="85" spans="1:4" x14ac:dyDescent="0.15">
      <c r="A85" s="378" t="s">
        <v>233</v>
      </c>
      <c r="B85" s="379" t="e">
        <f>(B75)/10^3</f>
        <v>#N/A</v>
      </c>
      <c r="C85" s="379">
        <f>(C75)/10^3</f>
        <v>8.0615383346257694</v>
      </c>
      <c r="D85" s="379">
        <f>(D66+D75)/10^3</f>
        <v>9.9422114725578314</v>
      </c>
    </row>
    <row r="86" spans="1:4" x14ac:dyDescent="0.15">
      <c r="A86" s="381" t="s">
        <v>234</v>
      </c>
      <c r="B86" s="382">
        <v>0</v>
      </c>
      <c r="C86" s="382">
        <v>0</v>
      </c>
      <c r="D86" s="383">
        <f>D81</f>
        <v>302.78257699768443</v>
      </c>
    </row>
  </sheetData>
  <conditionalFormatting sqref="B35:B36 C36">
    <cfRule type="cellIs" dxfId="10" priority="2" operator="greaterThan">
      <formula>0</formula>
    </cfRule>
  </conditionalFormatting>
  <conditionalFormatting sqref="B45">
    <cfRule type="colorScale" priority="3">
      <colorScale>
        <cfvo type="min"/>
        <cfvo type="percentile" val="50"/>
        <cfvo type="max"/>
        <color rgb="FFF8696B"/>
        <color rgb="FFFFEB84"/>
        <color rgb="FF63BE7B"/>
      </colorScale>
    </cfRule>
  </conditionalFormatting>
  <conditionalFormatting sqref="C35 C47">
    <cfRule type="cellIs" dxfId="9" priority="4" operator="greaterThan">
      <formula>0</formula>
    </cfRule>
  </conditionalFormatting>
  <conditionalFormatting sqref="C45">
    <cfRule type="colorScale" priority="5">
      <colorScale>
        <cfvo type="min"/>
        <cfvo type="percentile" val="50"/>
        <cfvo type="max"/>
        <color rgb="FFF8696B"/>
        <color rgb="FFFFEB84"/>
        <color rgb="FF63BE7B"/>
      </colorScale>
    </cfRule>
  </conditionalFormatting>
  <conditionalFormatting sqref="E21:E23">
    <cfRule type="colorScale" priority="6">
      <colorScale>
        <cfvo type="min"/>
        <cfvo type="percentile" val="50"/>
        <cfvo type="max"/>
        <color rgb="FFF8696B"/>
        <color rgb="FFFFEB84"/>
        <color rgb="FF63BE7B"/>
      </colorScale>
    </cfRule>
  </conditionalFormatting>
  <conditionalFormatting sqref="B58:D58">
    <cfRule type="containsText" dxfId="8" priority="7" operator="containsText" text="Vehicle technology insufficient">
      <formula>NOT(ISERROR(SEARCH("Vehicle technology insufficient",B58)))</formula>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'Model parameters'!$A$14:$A$20</xm:f>
          </x14:formula1>
          <x14:formula2>
            <xm:f>0</xm:f>
          </x14:formula2>
          <xm:sqref>B3:D3</xm:sqref>
        </x14:dataValidation>
        <x14:dataValidation type="list" allowBlank="1" showInputMessage="1" showErrorMessage="1" xr:uid="{00000000-0002-0000-0300-000001000000}">
          <x14:formula1>
            <xm:f>'Model parameters'!#REF!</xm:f>
          </x14:formula1>
          <x14:formula2>
            <xm:f>0</xm:f>
          </x14:formula2>
          <xm:sqref>D2</xm:sqref>
        </x14:dataValidation>
        <x14:dataValidation type="list" allowBlank="1" showDropDown="1" showInputMessage="1" showErrorMessage="1" xr:uid="{00000000-0002-0000-0300-000002000000}">
          <x14:formula1>
            <xm:f>'Model parameters'!#REF!</xm:f>
          </x14:formula1>
          <x14:formula2>
            <xm:f>0</xm:f>
          </x14:formula2>
          <xm:sqref>B44:C44 B31:D31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Y94"/>
  <sheetViews>
    <sheetView topLeftCell="A26" zoomScaleNormal="100" workbookViewId="0">
      <selection activeCell="B77" sqref="B77:B83"/>
    </sheetView>
  </sheetViews>
  <sheetFormatPr defaultColWidth="8.7109375" defaultRowHeight="10.5" x14ac:dyDescent="0.15"/>
  <cols>
    <col min="1" max="1" width="30.5703125" customWidth="1"/>
    <col min="2" max="2" width="22" customWidth="1"/>
    <col min="3" max="3" width="12.85546875" customWidth="1"/>
    <col min="4" max="4" width="10.5703125" customWidth="1"/>
    <col min="5" max="19" width="12.42578125" customWidth="1"/>
    <col min="20" max="20" width="11.5703125" customWidth="1"/>
    <col min="21" max="21" width="18.85546875" customWidth="1"/>
    <col min="22" max="22" width="12.85546875" customWidth="1"/>
    <col min="23" max="23" width="9" customWidth="1"/>
    <col min="24" max="25" width="11.85546875" customWidth="1"/>
    <col min="28" max="28" width="10.85546875" customWidth="1"/>
  </cols>
  <sheetData>
    <row r="1" spans="1:18" x14ac:dyDescent="0.15">
      <c r="A1" s="192" t="s">
        <v>253</v>
      </c>
    </row>
    <row r="2" spans="1:18" s="277" customFormat="1" ht="21.75" thickBot="1" x14ac:dyDescent="0.2">
      <c r="A2" s="394" t="s">
        <v>254</v>
      </c>
      <c r="B2" s="395" t="s">
        <v>255</v>
      </c>
      <c r="C2" s="395" t="s">
        <v>256</v>
      </c>
      <c r="D2" s="395" t="s">
        <v>257</v>
      </c>
      <c r="E2" s="396" t="s">
        <v>258</v>
      </c>
      <c r="G2" s="397"/>
    </row>
    <row r="3" spans="1:18" hidden="1" x14ac:dyDescent="0.15">
      <c r="A3" s="398"/>
      <c r="B3" s="398"/>
      <c r="C3" s="398"/>
      <c r="D3" s="398"/>
      <c r="E3" s="399"/>
    </row>
    <row r="4" spans="1:18" x14ac:dyDescent="0.15">
      <c r="A4" s="400" t="s">
        <v>259</v>
      </c>
      <c r="B4" s="401">
        <v>1</v>
      </c>
      <c r="C4" s="401">
        <v>1</v>
      </c>
      <c r="D4" s="402">
        <v>40</v>
      </c>
      <c r="E4" s="403">
        <v>18500</v>
      </c>
      <c r="G4" s="404"/>
    </row>
    <row r="5" spans="1:18" x14ac:dyDescent="0.15">
      <c r="A5" s="398" t="s">
        <v>260</v>
      </c>
      <c r="B5" s="398">
        <v>2</v>
      </c>
      <c r="C5" s="398">
        <v>1</v>
      </c>
      <c r="D5" s="405">
        <v>50</v>
      </c>
      <c r="E5" s="403">
        <v>20000</v>
      </c>
      <c r="G5" s="404"/>
    </row>
    <row r="6" spans="1:18" x14ac:dyDescent="0.15">
      <c r="A6" t="s">
        <v>261</v>
      </c>
      <c r="B6" s="401">
        <v>3</v>
      </c>
      <c r="C6" s="401">
        <v>1</v>
      </c>
      <c r="D6" s="402">
        <v>50</v>
      </c>
      <c r="E6" s="403">
        <v>30000</v>
      </c>
      <c r="G6" s="563"/>
    </row>
    <row r="7" spans="1:18" x14ac:dyDescent="0.15">
      <c r="A7" s="400" t="s">
        <v>262</v>
      </c>
      <c r="B7" s="401">
        <v>4</v>
      </c>
      <c r="C7" s="401">
        <v>1</v>
      </c>
      <c r="D7" s="402">
        <v>55</v>
      </c>
      <c r="E7" s="403">
        <v>40000</v>
      </c>
      <c r="G7" s="563"/>
    </row>
    <row r="8" spans="1:18" ht="15" x14ac:dyDescent="0.25">
      <c r="A8" s="400" t="s">
        <v>263</v>
      </c>
      <c r="B8" s="401">
        <v>5</v>
      </c>
      <c r="C8" s="401">
        <v>1</v>
      </c>
      <c r="D8" s="402">
        <v>80</v>
      </c>
      <c r="E8" s="403">
        <v>157000</v>
      </c>
      <c r="G8" s="563"/>
      <c r="I8" s="406"/>
    </row>
    <row r="9" spans="1:18" ht="15" x14ac:dyDescent="0.25">
      <c r="A9" s="400" t="s">
        <v>264</v>
      </c>
      <c r="B9" s="401">
        <v>6</v>
      </c>
      <c r="C9" s="401">
        <v>1</v>
      </c>
      <c r="D9" s="402">
        <v>160</v>
      </c>
      <c r="E9" s="403">
        <v>267500</v>
      </c>
      <c r="G9" s="563"/>
      <c r="H9" s="407"/>
      <c r="I9" s="406"/>
    </row>
    <row r="10" spans="1:18" ht="15" x14ac:dyDescent="0.25">
      <c r="A10" s="408" t="s">
        <v>7</v>
      </c>
      <c r="B10" s="409">
        <v>7</v>
      </c>
      <c r="C10" s="409">
        <v>1</v>
      </c>
      <c r="D10" s="410">
        <v>200</v>
      </c>
      <c r="E10" s="411">
        <v>290416</v>
      </c>
      <c r="G10" s="563"/>
      <c r="I10" s="406"/>
    </row>
    <row r="11" spans="1:18" ht="15" x14ac:dyDescent="0.25">
      <c r="G11" s="563"/>
      <c r="I11" s="406"/>
    </row>
    <row r="12" spans="1:18" ht="13.5" thickBot="1" x14ac:dyDescent="0.25">
      <c r="A12" s="398"/>
      <c r="B12" s="398"/>
      <c r="C12" s="412"/>
      <c r="D12" s="413"/>
      <c r="E12" s="414"/>
      <c r="F12" s="415"/>
      <c r="G12" s="564"/>
      <c r="I12" s="416"/>
      <c r="J12" s="416"/>
    </row>
    <row r="13" spans="1:18" s="426" customFormat="1" ht="42.75" thickBot="1" x14ac:dyDescent="0.2">
      <c r="A13" s="417" t="s">
        <v>255</v>
      </c>
      <c r="B13" s="418" t="s">
        <v>265</v>
      </c>
      <c r="C13" s="419" t="s">
        <v>266</v>
      </c>
      <c r="D13" s="419" t="s">
        <v>267</v>
      </c>
      <c r="E13" s="419" t="s">
        <v>268</v>
      </c>
      <c r="F13" s="420" t="s">
        <v>269</v>
      </c>
      <c r="G13" s="419" t="s">
        <v>270</v>
      </c>
      <c r="H13" s="421" t="s">
        <v>271</v>
      </c>
      <c r="I13" s="422" t="s">
        <v>272</v>
      </c>
      <c r="J13" s="422" t="s">
        <v>273</v>
      </c>
      <c r="K13" s="423" t="s">
        <v>274</v>
      </c>
      <c r="L13" s="419" t="s">
        <v>275</v>
      </c>
      <c r="M13" s="419" t="s">
        <v>276</v>
      </c>
      <c r="N13" s="424" t="s">
        <v>277</v>
      </c>
      <c r="O13" s="419" t="s">
        <v>278</v>
      </c>
      <c r="P13" s="419" t="s">
        <v>279</v>
      </c>
      <c r="Q13" s="425" t="s">
        <v>280</v>
      </c>
      <c r="R13" s="425" t="s">
        <v>281</v>
      </c>
    </row>
    <row r="14" spans="1:18" ht="11.25" thickBot="1" x14ac:dyDescent="0.2">
      <c r="A14" s="400" t="s">
        <v>259</v>
      </c>
      <c r="B14" s="401">
        <v>1</v>
      </c>
      <c r="C14" s="427">
        <v>0.71</v>
      </c>
      <c r="D14" s="428">
        <v>62</v>
      </c>
      <c r="E14" s="429">
        <v>11760</v>
      </c>
      <c r="F14" s="429">
        <v>2058</v>
      </c>
      <c r="G14" s="430">
        <v>0.15</v>
      </c>
      <c r="H14" s="431">
        <v>1.048</v>
      </c>
      <c r="I14" s="432">
        <v>5.7000000000000002E-2</v>
      </c>
      <c r="J14" s="433">
        <v>0.28799999999999998</v>
      </c>
      <c r="K14" s="434">
        <v>2.1499999999999998E-2</v>
      </c>
      <c r="L14" s="435">
        <v>4.1000000000000002E-2</v>
      </c>
      <c r="M14" s="435">
        <v>0.01</v>
      </c>
      <c r="N14" s="436">
        <v>0.140894845360825</v>
      </c>
      <c r="O14" s="437">
        <v>408</v>
      </c>
      <c r="P14" s="437">
        <v>100</v>
      </c>
      <c r="Q14" s="404">
        <v>69</v>
      </c>
      <c r="R14" s="437">
        <v>315</v>
      </c>
    </row>
    <row r="15" spans="1:18" ht="11.25" thickBot="1" x14ac:dyDescent="0.2">
      <c r="A15" s="398" t="s">
        <v>260</v>
      </c>
      <c r="B15" s="398">
        <v>2</v>
      </c>
      <c r="C15" s="427">
        <v>0.7</v>
      </c>
      <c r="D15" s="428">
        <v>58</v>
      </c>
      <c r="E15" s="429">
        <v>17195</v>
      </c>
      <c r="F15" s="429">
        <v>3009.125</v>
      </c>
      <c r="G15" s="430">
        <v>0.21</v>
      </c>
      <c r="H15" s="431">
        <v>1.6</v>
      </c>
      <c r="I15" s="432">
        <v>7.6999999999999999E-2</v>
      </c>
      <c r="J15" s="433">
        <v>0.38200000000000001</v>
      </c>
      <c r="K15" s="434">
        <v>2.1499999999999998E-2</v>
      </c>
      <c r="L15" s="435">
        <v>4.2999999999999997E-2</v>
      </c>
      <c r="M15" s="435">
        <v>1.2E-2</v>
      </c>
      <c r="N15" s="436">
        <v>0.140894845360825</v>
      </c>
      <c r="O15" s="437">
        <v>512</v>
      </c>
      <c r="P15" s="437">
        <v>100</v>
      </c>
      <c r="Q15" s="404">
        <v>69</v>
      </c>
      <c r="R15" s="437">
        <v>315</v>
      </c>
    </row>
    <row r="16" spans="1:18" ht="11.25" thickBot="1" x14ac:dyDescent="0.2">
      <c r="A16" t="s">
        <v>261</v>
      </c>
      <c r="B16" s="401">
        <v>3</v>
      </c>
      <c r="C16" s="427">
        <v>0.67</v>
      </c>
      <c r="D16" s="428">
        <v>55</v>
      </c>
      <c r="E16" s="429">
        <v>24042</v>
      </c>
      <c r="F16" s="429">
        <v>4207.3500000000004</v>
      </c>
      <c r="G16" s="430">
        <v>0.25</v>
      </c>
      <c r="H16" s="431">
        <v>1.8</v>
      </c>
      <c r="I16" s="432">
        <v>8.4000000000000005E-2</v>
      </c>
      <c r="J16" s="433">
        <v>0.47549999999999998</v>
      </c>
      <c r="K16" s="434">
        <v>2.1499999999999998E-2</v>
      </c>
      <c r="L16" s="435">
        <v>4.4999999999999998E-2</v>
      </c>
      <c r="M16" s="435">
        <v>1.4E-2</v>
      </c>
      <c r="N16" s="436">
        <v>0.140894845360825</v>
      </c>
      <c r="O16" s="437">
        <v>568</v>
      </c>
      <c r="P16" s="437">
        <v>100</v>
      </c>
      <c r="Q16" s="404">
        <v>69</v>
      </c>
      <c r="R16" s="437">
        <v>340</v>
      </c>
    </row>
    <row r="17" spans="1:25" ht="11.25" thickBot="1" x14ac:dyDescent="0.2">
      <c r="A17" s="400" t="s">
        <v>262</v>
      </c>
      <c r="B17" s="401">
        <v>4</v>
      </c>
      <c r="C17" s="427">
        <v>0.62</v>
      </c>
      <c r="D17" s="428">
        <v>53</v>
      </c>
      <c r="E17" s="429">
        <v>23620</v>
      </c>
      <c r="F17" s="429">
        <v>4133.5</v>
      </c>
      <c r="G17" s="430">
        <v>0.31</v>
      </c>
      <c r="H17" s="431">
        <v>2.1</v>
      </c>
      <c r="I17" s="432">
        <v>9.1999999999999998E-2</v>
      </c>
      <c r="J17" s="433">
        <v>0.56899999999999995</v>
      </c>
      <c r="K17" s="434">
        <v>2.1499999999999998E-2</v>
      </c>
      <c r="L17" s="438">
        <v>4.7E-2</v>
      </c>
      <c r="M17" s="438">
        <v>1.6E-2</v>
      </c>
      <c r="N17" s="436">
        <v>0.140894845360825</v>
      </c>
      <c r="O17" s="429">
        <v>540</v>
      </c>
      <c r="P17" s="429">
        <v>100</v>
      </c>
      <c r="Q17" s="404">
        <v>69</v>
      </c>
      <c r="R17" s="429">
        <v>345</v>
      </c>
    </row>
    <row r="18" spans="1:25" x14ac:dyDescent="0.15">
      <c r="A18" s="400" t="s">
        <v>263</v>
      </c>
      <c r="B18" s="401">
        <v>5</v>
      </c>
      <c r="C18" s="427">
        <v>0.55436507936507895</v>
      </c>
      <c r="D18" s="428">
        <v>49.0625</v>
      </c>
      <c r="E18" s="429">
        <v>62500</v>
      </c>
      <c r="F18" s="404">
        <v>6865.1645862576997</v>
      </c>
      <c r="G18" s="430">
        <v>0.75</v>
      </c>
      <c r="H18" s="439">
        <v>2.4093078055964701</v>
      </c>
      <c r="I18" s="432">
        <v>0.10199999999999999</v>
      </c>
      <c r="J18" s="432">
        <v>0.66244477172312199</v>
      </c>
      <c r="K18" s="440">
        <v>2.2616000000000001E-2</v>
      </c>
      <c r="L18" s="441">
        <v>5.1400000000000001E-2</v>
      </c>
      <c r="M18" s="441">
        <v>1.89E-2</v>
      </c>
      <c r="N18" s="442">
        <v>0.323962297496318</v>
      </c>
      <c r="O18" s="429">
        <v>320</v>
      </c>
      <c r="P18" s="429">
        <v>750</v>
      </c>
      <c r="Q18" s="404">
        <v>69</v>
      </c>
      <c r="R18" s="429">
        <v>375</v>
      </c>
    </row>
    <row r="19" spans="1:25" x14ac:dyDescent="0.15">
      <c r="A19" s="400" t="s">
        <v>264</v>
      </c>
      <c r="B19" s="401">
        <v>6</v>
      </c>
      <c r="C19" s="427">
        <v>0.45318681318681298</v>
      </c>
      <c r="D19" s="428">
        <v>43.233333333333299</v>
      </c>
      <c r="E19" s="429">
        <v>115000</v>
      </c>
      <c r="F19" s="404">
        <v>12631.902838714201</v>
      </c>
      <c r="G19" s="430">
        <v>0.9</v>
      </c>
      <c r="H19" s="439">
        <v>3.18627393225331</v>
      </c>
      <c r="I19" s="432">
        <v>0.20899999999999999</v>
      </c>
      <c r="J19" s="432">
        <v>0.87607341112495696</v>
      </c>
      <c r="K19" s="440">
        <v>2.3533999999999999E-2</v>
      </c>
      <c r="L19" s="441">
        <v>5.74E-2</v>
      </c>
      <c r="M19" s="441">
        <v>1.95E-2</v>
      </c>
      <c r="N19" s="442">
        <v>0.42843534609720202</v>
      </c>
      <c r="O19" s="429">
        <v>320</v>
      </c>
      <c r="P19" s="429">
        <v>750</v>
      </c>
      <c r="Q19" s="404">
        <v>69</v>
      </c>
      <c r="R19" s="429">
        <v>375</v>
      </c>
    </row>
    <row r="20" spans="1:25" ht="11.25" thickBot="1" x14ac:dyDescent="0.2">
      <c r="A20" s="443" t="s">
        <v>7</v>
      </c>
      <c r="B20" s="444">
        <v>7</v>
      </c>
      <c r="C20" s="445">
        <v>0.34821428571428598</v>
      </c>
      <c r="D20" s="446">
        <v>40.8333333333333</v>
      </c>
      <c r="E20" s="447">
        <v>144500</v>
      </c>
      <c r="F20" s="448">
        <v>15872.2605234278</v>
      </c>
      <c r="G20" s="449">
        <v>1.25</v>
      </c>
      <c r="H20" s="450">
        <v>4.84</v>
      </c>
      <c r="I20" s="433">
        <v>0.318</v>
      </c>
      <c r="J20" s="433">
        <v>1.33076923076923</v>
      </c>
      <c r="K20" s="451">
        <v>3.0438E-2</v>
      </c>
      <c r="L20" s="452">
        <v>8.0100000000000005E-2</v>
      </c>
      <c r="M20" s="452">
        <v>3.9199999999999999E-2</v>
      </c>
      <c r="N20" s="453">
        <v>0.65080000000000005</v>
      </c>
      <c r="O20" s="447">
        <v>976</v>
      </c>
      <c r="P20" s="447">
        <v>1250</v>
      </c>
      <c r="Q20" s="448">
        <v>69</v>
      </c>
      <c r="R20" s="454">
        <v>935</v>
      </c>
    </row>
    <row r="21" spans="1:25" ht="12.75" x14ac:dyDescent="0.2">
      <c r="A21" s="398"/>
      <c r="B21" s="398"/>
      <c r="C21" s="412"/>
      <c r="D21" s="413"/>
      <c r="E21" s="414"/>
      <c r="F21" s="415"/>
      <c r="G21" s="455"/>
      <c r="H21" s="439"/>
      <c r="I21" s="432"/>
    </row>
    <row r="22" spans="1:25" x14ac:dyDescent="0.15">
      <c r="G22" s="455"/>
      <c r="H22" s="439"/>
      <c r="I22" s="432"/>
      <c r="Y22" s="326"/>
    </row>
    <row r="23" spans="1:25" x14ac:dyDescent="0.15">
      <c r="A23" s="456" t="s">
        <v>282</v>
      </c>
      <c r="E23" s="457"/>
      <c r="G23" s="458"/>
      <c r="H23" s="450"/>
      <c r="I23" s="433"/>
      <c r="U23" s="459"/>
    </row>
    <row r="24" spans="1:25" x14ac:dyDescent="0.15">
      <c r="A24" s="460" t="s">
        <v>255</v>
      </c>
      <c r="B24" s="461">
        <v>1</v>
      </c>
      <c r="C24" s="461">
        <v>2</v>
      </c>
      <c r="D24" s="461">
        <v>3</v>
      </c>
      <c r="E24" s="462">
        <v>4</v>
      </c>
      <c r="F24" s="461">
        <v>5</v>
      </c>
      <c r="G24" s="461">
        <v>6</v>
      </c>
      <c r="H24" s="463">
        <v>7</v>
      </c>
      <c r="I24" s="464" t="s">
        <v>283</v>
      </c>
    </row>
    <row r="25" spans="1:25" x14ac:dyDescent="0.15">
      <c r="A25" s="465" t="s">
        <v>284</v>
      </c>
      <c r="B25" s="466">
        <f t="shared" ref="B25:H27" si="0">SUMIFS($D$4:$D$10,$B$4:$B$10,B$24,$C$4:$C$10,$I25)</f>
        <v>40</v>
      </c>
      <c r="C25" s="466">
        <f t="shared" si="0"/>
        <v>50</v>
      </c>
      <c r="D25" s="466">
        <f t="shared" si="0"/>
        <v>50</v>
      </c>
      <c r="E25" s="466">
        <f t="shared" si="0"/>
        <v>55</v>
      </c>
      <c r="F25" s="466">
        <f t="shared" si="0"/>
        <v>80</v>
      </c>
      <c r="G25" s="466">
        <f t="shared" si="0"/>
        <v>160</v>
      </c>
      <c r="H25" s="466">
        <f t="shared" si="0"/>
        <v>200</v>
      </c>
      <c r="I25" s="467">
        <v>1</v>
      </c>
    </row>
    <row r="26" spans="1:25" x14ac:dyDescent="0.15">
      <c r="A26" s="468" t="s">
        <v>285</v>
      </c>
      <c r="B26" s="401">
        <f t="shared" si="0"/>
        <v>0</v>
      </c>
      <c r="C26" s="401">
        <f t="shared" si="0"/>
        <v>0</v>
      </c>
      <c r="D26" s="401">
        <f t="shared" si="0"/>
        <v>0</v>
      </c>
      <c r="E26" s="401">
        <f t="shared" si="0"/>
        <v>0</v>
      </c>
      <c r="F26" s="401">
        <f t="shared" si="0"/>
        <v>0</v>
      </c>
      <c r="G26" s="401">
        <f t="shared" si="0"/>
        <v>0</v>
      </c>
      <c r="H26" s="469">
        <f t="shared" si="0"/>
        <v>0</v>
      </c>
      <c r="I26" s="467">
        <v>2</v>
      </c>
    </row>
    <row r="27" spans="1:25" x14ac:dyDescent="0.15">
      <c r="A27" s="470" t="s">
        <v>286</v>
      </c>
      <c r="B27" s="444">
        <f t="shared" si="0"/>
        <v>0</v>
      </c>
      <c r="C27" s="444">
        <f t="shared" si="0"/>
        <v>0</v>
      </c>
      <c r="D27" s="444">
        <f t="shared" si="0"/>
        <v>0</v>
      </c>
      <c r="E27" s="444">
        <f t="shared" si="0"/>
        <v>0</v>
      </c>
      <c r="F27" s="444">
        <f t="shared" si="0"/>
        <v>0</v>
      </c>
      <c r="G27" s="444">
        <f t="shared" si="0"/>
        <v>0</v>
      </c>
      <c r="H27" s="471">
        <f t="shared" si="0"/>
        <v>0</v>
      </c>
      <c r="I27" s="472">
        <v>3</v>
      </c>
    </row>
    <row r="28" spans="1:25" x14ac:dyDescent="0.15">
      <c r="A28" s="470" t="s">
        <v>287</v>
      </c>
      <c r="B28" s="473">
        <v>50</v>
      </c>
      <c r="C28" s="473">
        <v>50</v>
      </c>
      <c r="D28" s="473">
        <v>50</v>
      </c>
      <c r="E28" s="473">
        <v>55</v>
      </c>
      <c r="F28" s="473">
        <v>200</v>
      </c>
      <c r="G28" s="473">
        <v>240</v>
      </c>
      <c r="H28" s="474">
        <v>440</v>
      </c>
      <c r="I28" s="401"/>
      <c r="L28" s="300"/>
    </row>
    <row r="29" spans="1:25" x14ac:dyDescent="0.15">
      <c r="L29" s="300"/>
    </row>
    <row r="30" spans="1:25" ht="13.5" customHeight="1" x14ac:dyDescent="0.15">
      <c r="A30" s="475" t="s">
        <v>10</v>
      </c>
      <c r="B30" s="476" t="s">
        <v>17</v>
      </c>
      <c r="L30" s="300"/>
    </row>
    <row r="31" spans="1:25" x14ac:dyDescent="0.15">
      <c r="A31" s="477" t="s">
        <v>288</v>
      </c>
      <c r="B31" s="478" t="s">
        <v>18</v>
      </c>
      <c r="L31" s="300"/>
    </row>
    <row r="32" spans="1:25" x14ac:dyDescent="0.15">
      <c r="A32" s="479" t="s">
        <v>11</v>
      </c>
      <c r="B32" s="480" t="s">
        <v>289</v>
      </c>
    </row>
    <row r="33" spans="1:24" x14ac:dyDescent="0.15">
      <c r="A33" s="481"/>
      <c r="B33" s="482"/>
    </row>
    <row r="34" spans="1:24" x14ac:dyDescent="0.15">
      <c r="A34" s="483" t="s">
        <v>290</v>
      </c>
    </row>
    <row r="35" spans="1:24" ht="31.5" x14ac:dyDescent="0.15">
      <c r="A35" s="484" t="s">
        <v>291</v>
      </c>
      <c r="B35" s="485" t="s">
        <v>292</v>
      </c>
      <c r="C35" s="485" t="s">
        <v>293</v>
      </c>
      <c r="D35" s="422" t="s">
        <v>294</v>
      </c>
      <c r="E35" s="486" t="s">
        <v>295</v>
      </c>
      <c r="F35" s="422" t="s">
        <v>296</v>
      </c>
      <c r="G35" s="486" t="s">
        <v>297</v>
      </c>
      <c r="H35" s="422" t="s">
        <v>298</v>
      </c>
      <c r="I35" s="486" t="s">
        <v>299</v>
      </c>
      <c r="J35" s="422" t="s">
        <v>300</v>
      </c>
      <c r="K35" s="422" t="s">
        <v>301</v>
      </c>
      <c r="L35" s="422" t="s">
        <v>302</v>
      </c>
      <c r="M35" s="476" t="s">
        <v>303</v>
      </c>
      <c r="U35" s="487"/>
    </row>
    <row r="36" spans="1:24" x14ac:dyDescent="0.15">
      <c r="A36" s="488">
        <v>1</v>
      </c>
      <c r="B36" s="489" t="s">
        <v>304</v>
      </c>
      <c r="C36" s="489" t="s">
        <v>305</v>
      </c>
      <c r="D36" s="490" t="s">
        <v>306</v>
      </c>
      <c r="E36" s="491">
        <v>3.7</v>
      </c>
      <c r="F36" s="492">
        <v>0.8</v>
      </c>
      <c r="G36" s="493">
        <f>85.8%</f>
        <v>0.85799999999999998</v>
      </c>
      <c r="H36" s="494">
        <v>1219</v>
      </c>
      <c r="I36" s="495">
        <v>949</v>
      </c>
      <c r="J36" s="495">
        <v>270</v>
      </c>
      <c r="K36" s="496">
        <v>25</v>
      </c>
      <c r="L36" s="497">
        <v>0.20499999999999999</v>
      </c>
      <c r="M36" s="498"/>
      <c r="U36" s="487"/>
    </row>
    <row r="37" spans="1:24" x14ac:dyDescent="0.15">
      <c r="A37" s="488">
        <v>2</v>
      </c>
      <c r="B37" s="489" t="s">
        <v>307</v>
      </c>
      <c r="C37" s="489" t="s">
        <v>308</v>
      </c>
      <c r="D37" s="490" t="s">
        <v>309</v>
      </c>
      <c r="E37" s="491">
        <v>10</v>
      </c>
      <c r="F37" s="492">
        <v>0.8</v>
      </c>
      <c r="G37" s="499">
        <v>0.90200000000000002</v>
      </c>
      <c r="H37" s="494">
        <v>3820</v>
      </c>
      <c r="I37" s="495">
        <v>2200</v>
      </c>
      <c r="J37" s="495">
        <v>1620</v>
      </c>
      <c r="K37" s="496">
        <v>600</v>
      </c>
      <c r="L37" s="497"/>
      <c r="M37" s="498">
        <v>0.37</v>
      </c>
      <c r="U37" s="487"/>
    </row>
    <row r="38" spans="1:24" x14ac:dyDescent="0.15">
      <c r="A38" s="488">
        <v>3</v>
      </c>
      <c r="B38" s="489" t="s">
        <v>310</v>
      </c>
      <c r="C38" s="489" t="s">
        <v>311</v>
      </c>
      <c r="D38" s="490" t="s">
        <v>309</v>
      </c>
      <c r="E38" s="491">
        <v>20</v>
      </c>
      <c r="F38" s="492">
        <v>0.8</v>
      </c>
      <c r="G38" s="499">
        <v>0.90200000000000002</v>
      </c>
      <c r="H38" s="494">
        <v>3820</v>
      </c>
      <c r="I38" s="495">
        <v>2200</v>
      </c>
      <c r="J38" s="495">
        <v>1620</v>
      </c>
      <c r="K38" s="496">
        <v>1295</v>
      </c>
      <c r="L38" s="497"/>
      <c r="M38" s="498">
        <v>0.37</v>
      </c>
      <c r="U38" s="487"/>
    </row>
    <row r="39" spans="1:24" x14ac:dyDescent="0.15">
      <c r="A39" s="488">
        <v>4</v>
      </c>
      <c r="B39" s="489" t="s">
        <v>310</v>
      </c>
      <c r="C39" s="489" t="s">
        <v>311</v>
      </c>
      <c r="D39" s="490" t="s">
        <v>306</v>
      </c>
      <c r="E39" s="491">
        <v>20</v>
      </c>
      <c r="F39" s="492">
        <v>0.8</v>
      </c>
      <c r="G39" s="499">
        <v>0.90200000000000002</v>
      </c>
      <c r="H39" s="494">
        <v>2820</v>
      </c>
      <c r="I39" s="495">
        <v>2200</v>
      </c>
      <c r="J39" s="495">
        <v>620</v>
      </c>
      <c r="K39" s="496">
        <v>165</v>
      </c>
      <c r="L39" s="497">
        <v>0.13</v>
      </c>
      <c r="M39" s="498"/>
      <c r="U39" s="487"/>
    </row>
    <row r="40" spans="1:24" x14ac:dyDescent="0.15">
      <c r="A40" s="488">
        <v>5</v>
      </c>
      <c r="B40" s="489" t="s">
        <v>312</v>
      </c>
      <c r="C40" s="489" t="s">
        <v>313</v>
      </c>
      <c r="D40" s="490" t="s">
        <v>309</v>
      </c>
      <c r="E40" s="491">
        <v>50</v>
      </c>
      <c r="F40" s="492">
        <v>0.7</v>
      </c>
      <c r="G40" s="499">
        <v>0.88700000000000001</v>
      </c>
      <c r="H40" s="494">
        <v>31500</v>
      </c>
      <c r="I40" s="495">
        <v>25000</v>
      </c>
      <c r="J40" s="495">
        <v>6500</v>
      </c>
      <c r="K40" s="496">
        <v>3687.5</v>
      </c>
      <c r="L40" s="497"/>
      <c r="M40" s="498">
        <v>0.59</v>
      </c>
      <c r="U40" s="487"/>
    </row>
    <row r="41" spans="1:24" x14ac:dyDescent="0.15">
      <c r="A41" s="488">
        <v>6</v>
      </c>
      <c r="B41" s="489" t="s">
        <v>312</v>
      </c>
      <c r="C41" s="489" t="s">
        <v>313</v>
      </c>
      <c r="D41" s="490" t="s">
        <v>306</v>
      </c>
      <c r="E41" s="491">
        <v>50</v>
      </c>
      <c r="F41" s="492">
        <v>0.7</v>
      </c>
      <c r="G41" s="499">
        <v>0.88700000000000001</v>
      </c>
      <c r="H41" s="494">
        <v>29000</v>
      </c>
      <c r="I41" s="495">
        <v>25000</v>
      </c>
      <c r="J41" s="495">
        <v>4000</v>
      </c>
      <c r="K41" s="496">
        <v>2812.5</v>
      </c>
      <c r="L41" s="497">
        <v>0.12</v>
      </c>
      <c r="M41" s="498"/>
      <c r="U41" s="487"/>
    </row>
    <row r="42" spans="1:24" x14ac:dyDescent="0.15">
      <c r="A42" s="488">
        <v>7</v>
      </c>
      <c r="B42" s="489" t="s">
        <v>314</v>
      </c>
      <c r="C42" s="489" t="s">
        <v>315</v>
      </c>
      <c r="D42" s="490" t="s">
        <v>309</v>
      </c>
      <c r="E42" s="491">
        <v>150</v>
      </c>
      <c r="F42" s="492">
        <v>0.7</v>
      </c>
      <c r="G42" s="499">
        <v>0.88700000000000001</v>
      </c>
      <c r="H42" s="494">
        <v>66625</v>
      </c>
      <c r="I42" s="495">
        <v>55000</v>
      </c>
      <c r="J42" s="495">
        <v>11625</v>
      </c>
      <c r="K42" s="496">
        <v>7962.5</v>
      </c>
      <c r="L42" s="497"/>
      <c r="M42" s="498">
        <v>0.59</v>
      </c>
    </row>
    <row r="43" spans="1:24" x14ac:dyDescent="0.15">
      <c r="A43" s="488">
        <v>8</v>
      </c>
      <c r="B43" s="489" t="s">
        <v>314</v>
      </c>
      <c r="C43" s="489" t="s">
        <v>315</v>
      </c>
      <c r="D43" s="490" t="s">
        <v>306</v>
      </c>
      <c r="E43" s="491">
        <v>150</v>
      </c>
      <c r="F43" s="492">
        <v>0.7</v>
      </c>
      <c r="G43" s="499">
        <v>0.88700000000000001</v>
      </c>
      <c r="H43" s="494">
        <v>66000</v>
      </c>
      <c r="I43" s="495">
        <v>55000</v>
      </c>
      <c r="J43" s="495">
        <v>11000</v>
      </c>
      <c r="K43" s="496">
        <v>3300</v>
      </c>
      <c r="L43" s="497">
        <v>0.08</v>
      </c>
      <c r="M43" s="498"/>
    </row>
    <row r="44" spans="1:24" x14ac:dyDescent="0.15">
      <c r="A44" s="488">
        <v>9</v>
      </c>
      <c r="B44" s="489" t="s">
        <v>316</v>
      </c>
      <c r="C44" s="489" t="s">
        <v>317</v>
      </c>
      <c r="D44" s="490" t="s">
        <v>309</v>
      </c>
      <c r="E44" s="491">
        <v>350</v>
      </c>
      <c r="F44" s="492">
        <v>0.7</v>
      </c>
      <c r="G44" s="499">
        <v>0.88700000000000001</v>
      </c>
      <c r="H44" s="494">
        <v>171250</v>
      </c>
      <c r="I44" s="495">
        <v>140000</v>
      </c>
      <c r="J44" s="495">
        <v>31250</v>
      </c>
      <c r="K44" s="496">
        <v>19450</v>
      </c>
      <c r="L44" s="497"/>
      <c r="M44" s="498">
        <v>0.59</v>
      </c>
      <c r="U44" s="487"/>
    </row>
    <row r="45" spans="1:24" x14ac:dyDescent="0.15">
      <c r="A45" s="500">
        <v>10</v>
      </c>
      <c r="B45" s="501" t="s">
        <v>316</v>
      </c>
      <c r="C45" s="501" t="s">
        <v>317</v>
      </c>
      <c r="D45" s="502" t="s">
        <v>306</v>
      </c>
      <c r="E45" s="503">
        <v>350</v>
      </c>
      <c r="F45" s="504">
        <v>0.7</v>
      </c>
      <c r="G45" s="505">
        <v>0.88700000000000001</v>
      </c>
      <c r="H45" s="506">
        <v>168000</v>
      </c>
      <c r="I45" s="507">
        <v>140000</v>
      </c>
      <c r="J45" s="507">
        <v>28000</v>
      </c>
      <c r="K45" s="508">
        <v>8400</v>
      </c>
      <c r="L45" s="509">
        <v>0.08</v>
      </c>
      <c r="M45" s="510"/>
      <c r="U45" s="487"/>
    </row>
    <row r="46" spans="1:24" x14ac:dyDescent="0.15">
      <c r="A46" s="398"/>
      <c r="B46" s="489"/>
      <c r="C46" s="489"/>
      <c r="D46" s="490"/>
      <c r="E46" s="491"/>
      <c r="F46" s="492"/>
      <c r="G46" s="499"/>
      <c r="H46" s="494"/>
      <c r="I46" s="495"/>
      <c r="J46" s="495"/>
      <c r="K46" s="496"/>
      <c r="L46" s="511"/>
      <c r="M46" s="511"/>
      <c r="U46" s="487"/>
    </row>
    <row r="47" spans="1:24" x14ac:dyDescent="0.15">
      <c r="A47" s="192" t="s">
        <v>318</v>
      </c>
      <c r="U47" s="512"/>
      <c r="W47" s="487"/>
      <c r="X47" s="326"/>
    </row>
    <row r="48" spans="1:24" ht="31.5" x14ac:dyDescent="0.15">
      <c r="A48" s="513" t="s">
        <v>291</v>
      </c>
      <c r="B48" s="514" t="s">
        <v>319</v>
      </c>
      <c r="C48" s="515" t="s">
        <v>320</v>
      </c>
      <c r="U48" s="512"/>
      <c r="W48" s="487"/>
      <c r="X48" s="326"/>
    </row>
    <row r="49" spans="1:24" x14ac:dyDescent="0.15">
      <c r="A49" s="400">
        <v>1</v>
      </c>
      <c r="B49" s="401">
        <v>350</v>
      </c>
      <c r="C49" s="469">
        <v>350</v>
      </c>
      <c r="U49" s="512"/>
      <c r="W49" s="487"/>
      <c r="X49" s="326"/>
    </row>
    <row r="50" spans="1:24" x14ac:dyDescent="0.15">
      <c r="A50" s="400">
        <v>2</v>
      </c>
      <c r="B50" s="401">
        <v>150</v>
      </c>
      <c r="C50" s="469">
        <v>150</v>
      </c>
      <c r="U50" s="512"/>
      <c r="W50" s="487"/>
      <c r="X50" s="326"/>
    </row>
    <row r="51" spans="1:24" x14ac:dyDescent="0.15">
      <c r="A51" s="400">
        <v>3</v>
      </c>
      <c r="B51" s="401">
        <v>50</v>
      </c>
      <c r="C51" s="469">
        <v>50</v>
      </c>
      <c r="U51" s="512"/>
      <c r="W51" s="487"/>
      <c r="X51" s="326"/>
    </row>
    <row r="52" spans="1:24" x14ac:dyDescent="0.15">
      <c r="A52" s="400">
        <v>4</v>
      </c>
      <c r="B52" s="401">
        <v>20</v>
      </c>
      <c r="C52" s="469">
        <v>20</v>
      </c>
    </row>
    <row r="53" spans="1:24" x14ac:dyDescent="0.15">
      <c r="A53" s="443">
        <v>5</v>
      </c>
      <c r="B53" s="444">
        <v>3.7</v>
      </c>
      <c r="C53" s="471">
        <v>10</v>
      </c>
    </row>
    <row r="56" spans="1:24" x14ac:dyDescent="0.15">
      <c r="A56" s="192" t="s">
        <v>321</v>
      </c>
    </row>
    <row r="57" spans="1:24" ht="52.5" x14ac:dyDescent="0.15">
      <c r="A57" s="516" t="s">
        <v>322</v>
      </c>
      <c r="B57" s="517" t="s">
        <v>323</v>
      </c>
      <c r="C57" s="518" t="s">
        <v>324</v>
      </c>
    </row>
    <row r="58" spans="1:24" x14ac:dyDescent="0.15">
      <c r="A58" s="519">
        <v>0</v>
      </c>
      <c r="B58" s="520">
        <v>1</v>
      </c>
      <c r="C58" s="521">
        <v>0</v>
      </c>
      <c r="E58" s="294"/>
      <c r="F58" s="294"/>
    </row>
    <row r="59" spans="1:24" x14ac:dyDescent="0.15">
      <c r="A59" s="519">
        <v>1</v>
      </c>
      <c r="B59" s="520">
        <v>0.813410052538031</v>
      </c>
      <c r="C59" s="521">
        <v>0.186589947461969</v>
      </c>
      <c r="E59" s="294"/>
      <c r="F59" s="294"/>
    </row>
    <row r="60" spans="1:24" x14ac:dyDescent="0.15">
      <c r="A60" s="519">
        <v>2</v>
      </c>
      <c r="B60" s="520">
        <v>0.65951563279480097</v>
      </c>
      <c r="C60" s="521">
        <v>0.17024218360259999</v>
      </c>
      <c r="E60" s="294"/>
      <c r="F60" s="294"/>
    </row>
    <row r="61" spans="1:24" x14ac:dyDescent="0.15">
      <c r="A61" s="519">
        <v>3</v>
      </c>
      <c r="B61" s="520">
        <v>0.53473751466870401</v>
      </c>
      <c r="C61" s="521">
        <v>0.15508749511043199</v>
      </c>
      <c r="E61" s="294"/>
      <c r="F61" s="294"/>
    </row>
    <row r="62" spans="1:24" x14ac:dyDescent="0.15">
      <c r="A62" s="519">
        <v>4</v>
      </c>
      <c r="B62" s="520">
        <v>0.43356699276759902</v>
      </c>
      <c r="C62" s="521">
        <v>0.14160825180809999</v>
      </c>
      <c r="E62" s="294"/>
      <c r="F62" s="294"/>
    </row>
    <row r="63" spans="1:24" x14ac:dyDescent="0.15">
      <c r="A63" s="519">
        <v>5</v>
      </c>
      <c r="B63" s="520">
        <v>0.35153759005294899</v>
      </c>
      <c r="C63" s="521">
        <v>0.12969248198941</v>
      </c>
      <c r="E63" s="294"/>
      <c r="F63" s="294"/>
    </row>
    <row r="64" spans="1:24" x14ac:dyDescent="0.15">
      <c r="A64" s="519">
        <v>6</v>
      </c>
      <c r="B64" s="520">
        <v>0.28502787177453798</v>
      </c>
      <c r="C64" s="521">
        <v>0.11916202137091</v>
      </c>
      <c r="E64" s="294"/>
      <c r="F64" s="294"/>
    </row>
    <row r="65" spans="1:10" x14ac:dyDescent="0.15">
      <c r="A65" s="519">
        <v>7</v>
      </c>
      <c r="B65" s="520">
        <v>0.231101566339138</v>
      </c>
      <c r="C65" s="521">
        <v>0.109842633380123</v>
      </c>
      <c r="E65" s="294"/>
      <c r="F65" s="294"/>
    </row>
    <row r="66" spans="1:10" x14ac:dyDescent="0.15">
      <c r="A66" s="519">
        <v>8</v>
      </c>
      <c r="B66" s="520">
        <v>0.18737793476790099</v>
      </c>
      <c r="C66" s="521">
        <v>0.101577758154012</v>
      </c>
      <c r="E66" s="294"/>
      <c r="F66" s="294"/>
    </row>
    <row r="67" spans="1:10" x14ac:dyDescent="0.15">
      <c r="A67" s="519">
        <v>9</v>
      </c>
      <c r="B67" s="520">
        <v>0.15192666581220701</v>
      </c>
      <c r="C67" s="521">
        <v>9.4230370465310298E-2</v>
      </c>
    </row>
    <row r="68" spans="1:10" x14ac:dyDescent="0.15">
      <c r="A68" s="519">
        <v>10</v>
      </c>
      <c r="B68" s="520">
        <v>0.12</v>
      </c>
      <c r="C68" s="521">
        <v>0.09</v>
      </c>
    </row>
    <row r="69" spans="1:10" x14ac:dyDescent="0.15">
      <c r="A69" s="519">
        <v>11</v>
      </c>
      <c r="B69" s="520">
        <v>0.08</v>
      </c>
      <c r="C69" s="521">
        <v>0.04</v>
      </c>
    </row>
    <row r="70" spans="1:10" x14ac:dyDescent="0.15">
      <c r="A70" s="519">
        <v>12</v>
      </c>
      <c r="B70" s="520">
        <v>0.05</v>
      </c>
      <c r="C70" s="521">
        <v>0.03</v>
      </c>
    </row>
    <row r="71" spans="1:10" x14ac:dyDescent="0.15">
      <c r="A71" s="519">
        <v>13</v>
      </c>
      <c r="B71" s="520">
        <v>0.03</v>
      </c>
      <c r="C71" s="521">
        <v>0.02</v>
      </c>
    </row>
    <row r="72" spans="1:10" x14ac:dyDescent="0.15">
      <c r="A72" s="519">
        <v>14</v>
      </c>
      <c r="B72" s="520">
        <v>0.01</v>
      </c>
      <c r="C72" s="521">
        <v>0.01</v>
      </c>
    </row>
    <row r="73" spans="1:10" x14ac:dyDescent="0.15">
      <c r="A73" s="522">
        <v>15</v>
      </c>
      <c r="B73" s="523">
        <v>0</v>
      </c>
      <c r="C73" s="524">
        <v>0.01</v>
      </c>
    </row>
    <row r="75" spans="1:10" x14ac:dyDescent="0.15">
      <c r="A75" s="192" t="s">
        <v>325</v>
      </c>
    </row>
    <row r="76" spans="1:10" ht="31.5" x14ac:dyDescent="0.15">
      <c r="A76" s="525" t="s">
        <v>255</v>
      </c>
      <c r="B76" s="422" t="s">
        <v>326</v>
      </c>
      <c r="C76" s="526" t="s">
        <v>327</v>
      </c>
      <c r="D76" s="526" t="s">
        <v>328</v>
      </c>
      <c r="E76" s="527" t="s">
        <v>329</v>
      </c>
      <c r="F76" s="528"/>
      <c r="G76" s="528"/>
      <c r="H76" s="528"/>
      <c r="I76" s="398"/>
      <c r="J76" s="398"/>
    </row>
    <row r="77" spans="1:10" x14ac:dyDescent="0.15">
      <c r="A77" s="400" t="s">
        <v>259</v>
      </c>
      <c r="B77" s="529">
        <v>2561</v>
      </c>
      <c r="C77" s="530">
        <v>3.2000000000000001E-2</v>
      </c>
      <c r="D77" s="530">
        <v>5.7809999999999997</v>
      </c>
      <c r="E77" s="531">
        <v>6.9000000000000006E-2</v>
      </c>
      <c r="F77" s="528"/>
      <c r="G77" s="432"/>
      <c r="H77" s="528"/>
      <c r="I77" s="398"/>
      <c r="J77" s="398"/>
    </row>
    <row r="78" spans="1:10" x14ac:dyDescent="0.15">
      <c r="A78" s="398" t="s">
        <v>260</v>
      </c>
      <c r="B78" s="529">
        <v>2751</v>
      </c>
      <c r="C78" s="530">
        <v>3.4000000000000002E-2</v>
      </c>
      <c r="D78" s="530">
        <v>5.9809999999999999</v>
      </c>
      <c r="E78" s="531">
        <v>7.0999999999999994E-2</v>
      </c>
      <c r="F78" s="528"/>
      <c r="G78" s="432"/>
      <c r="H78" s="528"/>
      <c r="I78" s="398"/>
      <c r="J78" s="398"/>
    </row>
    <row r="79" spans="1:10" x14ac:dyDescent="0.15">
      <c r="A79" t="s">
        <v>261</v>
      </c>
      <c r="B79" s="529">
        <v>2981</v>
      </c>
      <c r="C79" s="530">
        <v>3.5999999999999997E-2</v>
      </c>
      <c r="D79" s="530">
        <v>6.13</v>
      </c>
      <c r="E79" s="531">
        <v>7.2999999999999995E-2</v>
      </c>
      <c r="F79" s="528"/>
      <c r="G79" s="432"/>
      <c r="H79" s="528"/>
      <c r="I79" s="398"/>
      <c r="J79" s="398"/>
    </row>
    <row r="80" spans="1:10" x14ac:dyDescent="0.15">
      <c r="A80" s="400" t="s">
        <v>262</v>
      </c>
      <c r="B80" s="529">
        <v>3121</v>
      </c>
      <c r="C80" s="530">
        <v>3.9E-2</v>
      </c>
      <c r="D80" s="530">
        <v>6.2469999999999999</v>
      </c>
      <c r="E80" s="531">
        <v>7.4999999999999997E-2</v>
      </c>
      <c r="F80" s="528"/>
      <c r="G80" s="432"/>
      <c r="H80" s="528"/>
      <c r="I80" s="398"/>
      <c r="J80" s="398"/>
    </row>
    <row r="81" spans="1:10" x14ac:dyDescent="0.15">
      <c r="A81" s="400" t="s">
        <v>263</v>
      </c>
      <c r="B81" s="529">
        <v>3239.1638990074698</v>
      </c>
      <c r="C81" s="530">
        <v>4.1163888019517897E-2</v>
      </c>
      <c r="D81" s="530">
        <v>6.4968136497062501</v>
      </c>
      <c r="E81" s="531">
        <v>8.1206880686973001E-2</v>
      </c>
      <c r="F81" s="532"/>
      <c r="G81" s="532"/>
      <c r="H81" s="532"/>
      <c r="I81" s="529"/>
      <c r="J81" s="529"/>
    </row>
    <row r="82" spans="1:10" x14ac:dyDescent="0.15">
      <c r="A82" s="400" t="s">
        <v>264</v>
      </c>
      <c r="B82" s="529">
        <v>3239.1638990074698</v>
      </c>
      <c r="C82" s="530">
        <v>3.9143410050660299E-2</v>
      </c>
      <c r="D82" s="530">
        <v>10.6024192685359</v>
      </c>
      <c r="E82" s="531">
        <v>8.1206880686973001E-2</v>
      </c>
      <c r="F82" s="532"/>
      <c r="G82" s="532"/>
      <c r="H82" s="532"/>
      <c r="I82" s="529"/>
      <c r="J82" s="529"/>
    </row>
    <row r="83" spans="1:10" x14ac:dyDescent="0.15">
      <c r="A83" s="443" t="s">
        <v>7</v>
      </c>
      <c r="B83" s="533">
        <v>3239.1638990074698</v>
      </c>
      <c r="C83" s="534">
        <v>4.5970063800938599E-2</v>
      </c>
      <c r="D83" s="534">
        <v>7.9345539045514801</v>
      </c>
      <c r="E83" s="535">
        <v>6.82332819826168E-2</v>
      </c>
      <c r="F83" s="532"/>
      <c r="G83" s="532"/>
      <c r="H83" s="532"/>
      <c r="I83" s="529"/>
      <c r="J83" s="529"/>
    </row>
    <row r="85" spans="1:10" x14ac:dyDescent="0.15">
      <c r="A85" s="456" t="s">
        <v>330</v>
      </c>
    </row>
    <row r="86" spans="1:10" ht="9.75" customHeight="1" x14ac:dyDescent="0.15">
      <c r="A86" s="536" t="s">
        <v>331</v>
      </c>
      <c r="B86" s="537" t="s">
        <v>332</v>
      </c>
      <c r="C86" s="538"/>
    </row>
    <row r="87" spans="1:10" x14ac:dyDescent="0.15">
      <c r="A87" s="539" t="s">
        <v>333</v>
      </c>
      <c r="B87" s="540">
        <v>0.36933739984929198</v>
      </c>
      <c r="C87" s="538"/>
    </row>
    <row r="88" spans="1:10" x14ac:dyDescent="0.15">
      <c r="A88" s="539" t="s">
        <v>334</v>
      </c>
      <c r="B88" s="540">
        <v>0</v>
      </c>
      <c r="C88" s="538"/>
    </row>
    <row r="89" spans="1:10" x14ac:dyDescent="0.15">
      <c r="A89" s="541" t="s">
        <v>335</v>
      </c>
      <c r="B89" s="542">
        <v>0.45693097400279298</v>
      </c>
      <c r="C89" s="538"/>
    </row>
    <row r="90" spans="1:10" x14ac:dyDescent="0.15">
      <c r="A90" s="543" t="s">
        <v>336</v>
      </c>
    </row>
    <row r="92" spans="1:10" x14ac:dyDescent="0.15">
      <c r="A92" s="544" t="s">
        <v>337</v>
      </c>
      <c r="B92" s="545">
        <v>1.3859999999999999</v>
      </c>
    </row>
    <row r="94" spans="1:10" x14ac:dyDescent="0.15">
      <c r="A94" s="546" t="s">
        <v>338</v>
      </c>
      <c r="B94" s="547">
        <v>0.95499999999999996</v>
      </c>
    </row>
  </sheetData>
  <pageMargins left="0.7" right="0.7" top="0.75" bottom="0.75" header="0.51180555555555496" footer="0.51180555555555496"/>
  <pageSetup paperSize="9" firstPageNumber="0"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85"/>
  <sheetViews>
    <sheetView topLeftCell="B22" zoomScaleNormal="100" workbookViewId="0">
      <selection activeCell="H37" sqref="H37"/>
    </sheetView>
  </sheetViews>
  <sheetFormatPr defaultColWidth="9.28515625" defaultRowHeight="10.5" x14ac:dyDescent="0.15"/>
  <cols>
    <col min="1" max="1" width="43.140625" customWidth="1"/>
    <col min="2" max="3" width="27.42578125" customWidth="1"/>
    <col min="4" max="5" width="10.5703125" customWidth="1"/>
    <col min="6" max="6" width="38.85546875" customWidth="1"/>
    <col min="7" max="7" width="15.5703125" style="268" customWidth="1"/>
    <col min="8" max="8" width="15.5703125" customWidth="1"/>
    <col min="9" max="9" width="25.140625" customWidth="1"/>
    <col min="10" max="10" width="10.85546875" customWidth="1"/>
    <col min="11" max="16" width="4.5703125" customWidth="1"/>
    <col min="17" max="17" width="5.42578125" customWidth="1"/>
  </cols>
  <sheetData>
    <row r="1" spans="1:17" x14ac:dyDescent="0.15">
      <c r="F1" s="192" t="s">
        <v>151</v>
      </c>
    </row>
    <row r="2" spans="1:17" x14ac:dyDescent="0.15">
      <c r="A2" s="269" t="s">
        <v>152</v>
      </c>
      <c r="B2" s="270" t="s">
        <v>154</v>
      </c>
      <c r="C2" s="271"/>
      <c r="F2" s="278" t="s">
        <v>35</v>
      </c>
      <c r="G2" s="273" t="s">
        <v>156</v>
      </c>
      <c r="H2" s="273" t="s">
        <v>157</v>
      </c>
      <c r="I2" s="274" t="s">
        <v>158</v>
      </c>
    </row>
    <row r="3" spans="1:17" s="277" customFormat="1" x14ac:dyDescent="0.15">
      <c r="A3" s="275" t="s">
        <v>159</v>
      </c>
      <c r="B3" s="276" t="str">
        <f>$C$3</f>
        <v>Trekker-oplegger</v>
      </c>
      <c r="C3" s="276" t="str">
        <f>'TCO module beleidsmakers'!B12</f>
        <v>Trekker-oplegger</v>
      </c>
      <c r="F3" s="278" t="s">
        <v>36</v>
      </c>
      <c r="G3" s="273">
        <f>'TCO module beleidsmakers'!F13</f>
        <v>7</v>
      </c>
      <c r="H3" s="295">
        <f>G3</f>
        <v>7</v>
      </c>
      <c r="I3" s="384"/>
      <c r="J3"/>
      <c r="K3" s="281"/>
      <c r="L3" s="281"/>
      <c r="M3" s="281"/>
      <c r="N3" s="281"/>
      <c r="O3" s="281"/>
      <c r="P3" s="281"/>
      <c r="Q3" s="281"/>
    </row>
    <row r="4" spans="1:17" x14ac:dyDescent="0.15">
      <c r="A4" s="270" t="s">
        <v>236</v>
      </c>
      <c r="B4" s="282">
        <f>C4</f>
        <v>135.13513513513513</v>
      </c>
      <c r="C4" s="282">
        <f>'TCO module beleidsmakers'!$B$14/beleidsmakers_calc!C5</f>
        <v>135.13513513513513</v>
      </c>
      <c r="F4" s="278" t="s">
        <v>38</v>
      </c>
      <c r="G4" s="273">
        <f>'TCO module beleidsmakers'!F14</f>
        <v>0</v>
      </c>
      <c r="H4" s="296">
        <f>IF(G4=0,INDEX('Model parameters'!$B$59:$B$73,$H$3)*INDEX('Model parameters'!$E$14:$E$20,beleidsmakers_calc!$C$19),G4)</f>
        <v>33394.176336005439</v>
      </c>
      <c r="I4" s="284" t="str">
        <f>TEXT(INDEX('Model parameters'!$B$59:$B$73,$H$3)*INDEX('Model parameters'!$E$14:$E$20,beleidsmakers_calc!$C$19),"€ #.##0")</f>
        <v>€ 33.394</v>
      </c>
    </row>
    <row r="5" spans="1:17" x14ac:dyDescent="0.15">
      <c r="A5" s="270" t="s">
        <v>164</v>
      </c>
      <c r="B5" s="282">
        <f>$H$27-'TCO module ondernemers'!$B$30</f>
        <v>255</v>
      </c>
      <c r="C5" s="282">
        <f>$H$27-'TCO module ondernemers'!$C$30</f>
        <v>259</v>
      </c>
      <c r="F5" s="385"/>
    </row>
    <row r="6" spans="1:17" x14ac:dyDescent="0.15">
      <c r="A6" s="270" t="s">
        <v>237</v>
      </c>
      <c r="B6" s="285">
        <f>B4*B21+B22*B12</f>
        <v>168.91891891891891</v>
      </c>
      <c r="C6" s="285">
        <f>C4*C21+C22*C12</f>
        <v>168.91891891891891</v>
      </c>
      <c r="F6" s="297" t="s">
        <v>109</v>
      </c>
      <c r="G6" s="279"/>
      <c r="H6" s="279"/>
      <c r="I6" s="270"/>
    </row>
    <row r="7" spans="1:17" x14ac:dyDescent="0.15">
      <c r="A7" s="270"/>
      <c r="B7" s="285"/>
      <c r="C7" s="282" t="str">
        <f>'TCO module beleidsmakers'!B13</f>
        <v>niet gekoeld</v>
      </c>
      <c r="F7" s="278" t="s">
        <v>36</v>
      </c>
      <c r="G7" s="279">
        <f>'TCO module beleidsmakers'!E13</f>
        <v>7</v>
      </c>
      <c r="H7" s="295">
        <f>G7</f>
        <v>7</v>
      </c>
      <c r="I7" s="270"/>
    </row>
    <row r="8" spans="1:17" x14ac:dyDescent="0.15">
      <c r="A8" s="270" t="s">
        <v>169</v>
      </c>
      <c r="B8" s="289">
        <f>$C$8</f>
        <v>40.8333333333333</v>
      </c>
      <c r="C8" s="289">
        <f>INDEX(speed,C19)</f>
        <v>40.8333333333333</v>
      </c>
      <c r="F8" s="278" t="s">
        <v>38</v>
      </c>
      <c r="G8" s="279">
        <f>'TCO module beleidsmakers'!E14</f>
        <v>0</v>
      </c>
      <c r="H8" s="296">
        <f>IF(G8&lt;=0,INDEX('Model parameters'!$B$59:$B$73,$H$7)*INDEX('Model parameters'!$E$4:$E$10,beleidsmakers_calc!$B$17),$G$8)</f>
        <v>67115.592489947099</v>
      </c>
      <c r="I8" s="284" t="str">
        <f>TEXT(INDEX('Model parameters'!$B$59:$B$73,$H$3)*INDEX('Model parameters'!$E$4:$E$10,beleidsmakers_calc!$B$17),"€ #.##0")</f>
        <v>€ 67.116</v>
      </c>
    </row>
    <row r="9" spans="1:17" x14ac:dyDescent="0.15">
      <c r="A9" s="270" t="s">
        <v>170</v>
      </c>
      <c r="B9" s="293">
        <f>$C$9</f>
        <v>0.34821428571428598</v>
      </c>
      <c r="C9" s="293">
        <f>INDEX(waiting,C19)</f>
        <v>0.34821428571428598</v>
      </c>
      <c r="D9" s="294"/>
      <c r="E9" s="294"/>
      <c r="F9" s="278" t="s">
        <v>160</v>
      </c>
      <c r="G9" s="279">
        <f>'TCO module beleidsmakers'!E16</f>
        <v>0</v>
      </c>
      <c r="H9" s="279">
        <f>IF(G9=0,$C$20,G9)</f>
        <v>50</v>
      </c>
      <c r="I9" s="280"/>
      <c r="J9" s="281"/>
    </row>
    <row r="10" spans="1:17" x14ac:dyDescent="0.15">
      <c r="A10" s="270" t="s">
        <v>171</v>
      </c>
      <c r="B10" s="270">
        <f>$C$10</f>
        <v>24</v>
      </c>
      <c r="C10" s="270">
        <v>24</v>
      </c>
      <c r="F10" s="278" t="s">
        <v>12</v>
      </c>
      <c r="G10" s="279">
        <f>'TCO module beleidsmakers'!E17</f>
        <v>0</v>
      </c>
      <c r="H10" s="279">
        <f>IF(G10=0,$C$28,G10)</f>
        <v>20</v>
      </c>
      <c r="I10" s="284"/>
    </row>
    <row r="11" spans="1:17" x14ac:dyDescent="0.15">
      <c r="A11" s="270" t="s">
        <v>172</v>
      </c>
      <c r="B11" s="285">
        <f>$C$11</f>
        <v>3.3094318808604548</v>
      </c>
      <c r="C11" s="285">
        <f>C4/C8</f>
        <v>3.3094318808604548</v>
      </c>
      <c r="F11" s="385"/>
      <c r="I11" s="292"/>
    </row>
    <row r="12" spans="1:17" x14ac:dyDescent="0.15">
      <c r="A12" s="270" t="s">
        <v>173</v>
      </c>
      <c r="B12" s="285">
        <f>$C$12</f>
        <v>5.0774845295393307</v>
      </c>
      <c r="C12" s="285">
        <f>MIN(C11/(1-C9),C10-C14)</f>
        <v>5.0774845295393307</v>
      </c>
      <c r="F12" s="278" t="s">
        <v>27</v>
      </c>
      <c r="G12" s="279"/>
      <c r="H12" s="279"/>
      <c r="I12" s="284"/>
    </row>
    <row r="13" spans="1:17" x14ac:dyDescent="0.15">
      <c r="A13" s="270" t="s">
        <v>174</v>
      </c>
      <c r="B13" s="285">
        <f>$C$13</f>
        <v>3</v>
      </c>
      <c r="C13" s="285">
        <v>3</v>
      </c>
      <c r="F13" s="297" t="s">
        <v>29</v>
      </c>
      <c r="G13" s="279">
        <f>'TCO module beleidsmakers'!B24</f>
        <v>0</v>
      </c>
      <c r="H13" s="296">
        <f>IF(G13&lt;=0,INDEX('Model parameters'!$E$4:$E$10,beleidsmakers_calc!$B$17),G13)</f>
        <v>290416</v>
      </c>
      <c r="I13" s="386" t="str">
        <f>TEXT(INDEX('Model parameters'!$E$4:$E$10,beleidsmakers_calc!$B$17),"€ #.###")</f>
        <v>€ 290.416</v>
      </c>
    </row>
    <row r="14" spans="1:17" x14ac:dyDescent="0.15">
      <c r="A14" s="270" t="s">
        <v>175</v>
      </c>
      <c r="B14" s="285">
        <f>C14</f>
        <v>8</v>
      </c>
      <c r="C14" s="285">
        <v>8</v>
      </c>
      <c r="F14" s="278" t="s">
        <v>31</v>
      </c>
      <c r="G14" s="279">
        <f>'TCO module beleidsmakers'!B25</f>
        <v>0</v>
      </c>
      <c r="H14" s="295">
        <f>G14</f>
        <v>0</v>
      </c>
      <c r="I14" s="284"/>
    </row>
    <row r="15" spans="1:17" x14ac:dyDescent="0.15">
      <c r="B15" s="299"/>
      <c r="C15" s="300"/>
      <c r="F15" s="385"/>
      <c r="I15" s="292"/>
    </row>
    <row r="16" spans="1:17" x14ac:dyDescent="0.15">
      <c r="A16" s="302" t="s">
        <v>177</v>
      </c>
      <c r="B16" s="302" t="str">
        <f>B3</f>
        <v>Trekker-oplegger</v>
      </c>
      <c r="C16" s="303"/>
      <c r="F16" s="278" t="s">
        <v>185</v>
      </c>
      <c r="G16" s="279"/>
      <c r="H16" s="279"/>
      <c r="I16" s="284"/>
    </row>
    <row r="17" spans="1:9" x14ac:dyDescent="0.15">
      <c r="A17" s="302" t="s">
        <v>177</v>
      </c>
      <c r="B17" s="302">
        <f>MATCH(B16,'Model parameters'!$A$4:$A$10,0)</f>
        <v>7</v>
      </c>
      <c r="C17" s="303"/>
      <c r="F17" s="278" t="s">
        <v>238</v>
      </c>
      <c r="G17" s="279">
        <f>'TCO module beleidsmakers'!B29</f>
        <v>0</v>
      </c>
      <c r="H17" s="296">
        <f>IF(G17&lt;=0,INDEX('Model parameters'!$H$36:$H$45,beleidsmakers_calc!$B$29),G17)</f>
        <v>2820</v>
      </c>
      <c r="I17" s="284" t="str">
        <f>TEXT(INDEX('Model parameters'!$H$36:$H$45,beleidsmakers_calc!$B$29),"€ #.##0")</f>
        <v>€ 2.820</v>
      </c>
    </row>
    <row r="18" spans="1:9" x14ac:dyDescent="0.15">
      <c r="A18" s="304"/>
      <c r="B18" s="304"/>
      <c r="C18" s="305"/>
      <c r="F18" s="278" t="s">
        <v>31</v>
      </c>
      <c r="G18" s="279">
        <f>'TCO module beleidsmakers'!B30</f>
        <v>0</v>
      </c>
      <c r="H18" s="295">
        <f>G18</f>
        <v>0</v>
      </c>
      <c r="I18" s="284"/>
    </row>
    <row r="19" spans="1:9" x14ac:dyDescent="0.15">
      <c r="A19" s="269" t="s">
        <v>178</v>
      </c>
      <c r="B19" s="306">
        <f>$C$19</f>
        <v>7</v>
      </c>
      <c r="C19" s="306">
        <f>MATCH(beleidsmakers_calc!C$3,'Model parameters'!$A$14:$A$20,0)</f>
        <v>7</v>
      </c>
      <c r="F19" s="387"/>
      <c r="H19" s="388"/>
      <c r="I19" s="389"/>
    </row>
    <row r="20" spans="1:9" x14ac:dyDescent="0.15">
      <c r="A20" s="270" t="s">
        <v>179</v>
      </c>
      <c r="B20" s="289">
        <f>$H$9</f>
        <v>50</v>
      </c>
      <c r="C20" s="289">
        <f>IF(C$6/80%&gt;$D$23,$D$23,INDEX($D$20:$D$22,MATCH(C$6/80%,$D$20:$D$22,-1)))</f>
        <v>50</v>
      </c>
      <c r="D20" s="307">
        <f>INDEX('Model parameters'!$B$25:$D$27,1,beleidsmakers_calc!$C$19-4)</f>
        <v>50</v>
      </c>
      <c r="F20" s="278" t="s">
        <v>26</v>
      </c>
      <c r="G20" s="273"/>
      <c r="H20" s="273"/>
      <c r="I20" s="298"/>
    </row>
    <row r="21" spans="1:9" x14ac:dyDescent="0.15">
      <c r="A21" s="270" t="s">
        <v>180</v>
      </c>
      <c r="B21" s="308">
        <f>INDEX(EC_rate,B$19)</f>
        <v>1.25</v>
      </c>
      <c r="C21" s="308">
        <f>INDEX(EC_rate,C$19)</f>
        <v>1.25</v>
      </c>
      <c r="D21" s="309">
        <f>INDEX('Model parameters'!$B$25:$D$27,2,beleidsmakers_calc!$C$19-4)</f>
        <v>0</v>
      </c>
      <c r="F21" s="278" t="s">
        <v>131</v>
      </c>
      <c r="G21" s="286">
        <f>'TCO module beleidsmakers'!B34</f>
        <v>0</v>
      </c>
      <c r="H21" s="390">
        <f>IF(G21=0,INDEX('Model parameters'!$L$36:$L$45,beleidsmakers_calc!B$29),G21)</f>
        <v>0.13</v>
      </c>
      <c r="I21" s="288" t="str">
        <f>TEXT(INDEX('Model parameters'!$L$36:$L$45,beleidsmakers_calc!B$29),"0,00")</f>
        <v>0,13</v>
      </c>
    </row>
    <row r="22" spans="1:9" x14ac:dyDescent="0.15">
      <c r="A22" s="270" t="s">
        <v>181</v>
      </c>
      <c r="B22" s="308">
        <f>IF($C$7="gekoeld",INDEX(refrigeration,B$19),0)</f>
        <v>0</v>
      </c>
      <c r="C22" s="308">
        <f>IF($C$7="Refrigerated",INDEX(refrigeration,C$19),0)</f>
        <v>0</v>
      </c>
      <c r="D22" s="309">
        <f>INDEX('Model parameters'!$B$25:$D$27,3,beleidsmakers_calc!$C$19-4)</f>
        <v>0</v>
      </c>
      <c r="F22" s="278" t="s">
        <v>133</v>
      </c>
      <c r="G22" s="391">
        <f>'TCO module beleidsmakers'!B35</f>
        <v>0</v>
      </c>
      <c r="H22" s="270"/>
      <c r="I22" s="270"/>
    </row>
    <row r="23" spans="1:9" x14ac:dyDescent="0.15">
      <c r="B23" s="311"/>
      <c r="D23" s="312">
        <f>D20</f>
        <v>50</v>
      </c>
      <c r="F23" s="392"/>
      <c r="H23" s="388"/>
    </row>
    <row r="24" spans="1:9" x14ac:dyDescent="0.15">
      <c r="A24" s="269" t="s">
        <v>182</v>
      </c>
      <c r="B24" s="270"/>
      <c r="C24" s="289"/>
      <c r="F24" s="278" t="s">
        <v>239</v>
      </c>
      <c r="G24" s="316"/>
      <c r="H24" s="317">
        <f>'TCO module beleidsmakers'!$B$14</f>
        <v>35000</v>
      </c>
    </row>
    <row r="25" spans="1:9" x14ac:dyDescent="0.15">
      <c r="A25" s="270" t="s">
        <v>184</v>
      </c>
      <c r="B25" s="313">
        <f>B14</f>
        <v>8</v>
      </c>
      <c r="C25" s="313">
        <f>C14</f>
        <v>8</v>
      </c>
      <c r="F25" s="278" t="s">
        <v>240</v>
      </c>
      <c r="G25" s="279"/>
      <c r="H25" s="317">
        <f>B4*B5</f>
        <v>34459.45945945946</v>
      </c>
    </row>
    <row r="26" spans="1:9" x14ac:dyDescent="0.15">
      <c r="A26" s="270" t="s">
        <v>186</v>
      </c>
      <c r="B26" s="313">
        <f>B20*80%</f>
        <v>40</v>
      </c>
      <c r="C26" s="313">
        <f>C20*80%</f>
        <v>40</v>
      </c>
      <c r="F26" s="392"/>
    </row>
    <row r="27" spans="1:9" x14ac:dyDescent="0.15">
      <c r="A27" s="270" t="s">
        <v>187</v>
      </c>
      <c r="B27" s="313">
        <f>B26/B25</f>
        <v>5</v>
      </c>
      <c r="C27" s="313">
        <f>C26/C25</f>
        <v>5</v>
      </c>
      <c r="F27" s="278" t="s">
        <v>241</v>
      </c>
      <c r="G27" s="279"/>
      <c r="H27" s="317">
        <v>260</v>
      </c>
    </row>
    <row r="28" spans="1:9" x14ac:dyDescent="0.15">
      <c r="A28" s="270" t="s">
        <v>188</v>
      </c>
      <c r="B28" s="313">
        <f>$H$10</f>
        <v>20</v>
      </c>
      <c r="C28" s="313">
        <f>IF(C27&gt;'Model parameters'!$B$49,'Model parameters'!$B$49,INDEX('Model parameters'!$B$49:$B$53,MATCH(C$27,'Model parameters'!$B$49:$B$53,-1)))</f>
        <v>20</v>
      </c>
      <c r="F28" s="392"/>
    </row>
    <row r="29" spans="1:9" x14ac:dyDescent="0.15">
      <c r="A29" s="270" t="s">
        <v>177</v>
      </c>
      <c r="B29" s="314">
        <f>SUMIFS('Model parameters'!$A$36:$A$45,'Model parameters'!$D$36:$D$45,"Privaat",'Model parameters'!$E$36:$E$45,B$28)</f>
        <v>4</v>
      </c>
      <c r="C29" s="314">
        <f>SUMIFS('Model parameters'!$A$36:$A$45,'Model parameters'!$D$36:$D$45,"Privaat",'Model parameters'!$E$36:$E$45,C$28)</f>
        <v>4</v>
      </c>
      <c r="F29" s="278" t="s">
        <v>242</v>
      </c>
      <c r="G29" s="279"/>
      <c r="H29" s="317">
        <f>C12*C5</f>
        <v>1315.0684931506867</v>
      </c>
    </row>
    <row r="30" spans="1:9" x14ac:dyDescent="0.15">
      <c r="A30" s="270" t="s">
        <v>191</v>
      </c>
      <c r="B30" s="315">
        <f>B29</f>
        <v>4</v>
      </c>
      <c r="C30" s="315">
        <f>C29</f>
        <v>4</v>
      </c>
      <c r="F30" s="392"/>
    </row>
    <row r="31" spans="1:9" x14ac:dyDescent="0.15">
      <c r="B31" s="310"/>
      <c r="F31" s="278" t="s">
        <v>243</v>
      </c>
      <c r="G31" s="279"/>
      <c r="H31" s="270"/>
    </row>
    <row r="32" spans="1:9" x14ac:dyDescent="0.15">
      <c r="B32" s="310"/>
      <c r="F32" s="278" t="s">
        <v>205</v>
      </c>
      <c r="G32" s="279"/>
      <c r="H32" s="323">
        <f>INDEX('Model parameters'!$E$14:$E$20,beleidsmakers_calc!$C$19)</f>
        <v>144500</v>
      </c>
    </row>
    <row r="33" spans="1:10" x14ac:dyDescent="0.15">
      <c r="A33" s="319" t="s">
        <v>196</v>
      </c>
      <c r="B33" s="285">
        <f>MIN(B26,B20*INDEX('Model parameters'!$F$36:$F$45,B$30),B28*B25)</f>
        <v>40</v>
      </c>
      <c r="F33" s="278" t="s">
        <v>207</v>
      </c>
      <c r="G33" s="279"/>
      <c r="H33" s="323">
        <f>(H32-$H$4)/$H$3</f>
        <v>15872.260523427793</v>
      </c>
    </row>
    <row r="34" spans="1:10" x14ac:dyDescent="0.15">
      <c r="A34" s="270" t="s">
        <v>198</v>
      </c>
      <c r="B34" s="285">
        <f>MIN(B$33,B$6)</f>
        <v>40</v>
      </c>
      <c r="F34" s="278" t="s">
        <v>244</v>
      </c>
      <c r="G34" s="279"/>
      <c r="H34" s="323">
        <f>(H13-H14-H8)/$H$7</f>
        <v>31900.058215721841</v>
      </c>
    </row>
    <row r="35" spans="1:10" x14ac:dyDescent="0.15">
      <c r="B35" s="393"/>
      <c r="F35" s="392"/>
    </row>
    <row r="36" spans="1:10" x14ac:dyDescent="0.15">
      <c r="A36" s="269" t="s">
        <v>201</v>
      </c>
      <c r="B36" s="270"/>
      <c r="F36" s="278" t="s">
        <v>82</v>
      </c>
      <c r="G36" s="279"/>
      <c r="H36" s="270"/>
    </row>
    <row r="37" spans="1:10" x14ac:dyDescent="0.15">
      <c r="A37" s="270" t="s">
        <v>202</v>
      </c>
      <c r="B37" s="285">
        <f>IF(B6-B34&gt;0,B6-B34,0)</f>
        <v>128.91891891891891</v>
      </c>
      <c r="F37" s="278" t="s">
        <v>109</v>
      </c>
      <c r="G37" s="279"/>
      <c r="H37" s="323">
        <f>'TCO module ondernemers'!B29</f>
        <v>5000</v>
      </c>
    </row>
    <row r="38" spans="1:10" x14ac:dyDescent="0.15">
      <c r="A38" s="270" t="s">
        <v>204</v>
      </c>
      <c r="B38" s="313">
        <f>$C$13</f>
        <v>3</v>
      </c>
      <c r="F38" s="278" t="s">
        <v>35</v>
      </c>
      <c r="G38" s="279"/>
      <c r="H38" s="323">
        <f>'TCO module ondernemers'!C29</f>
        <v>1500</v>
      </c>
    </row>
    <row r="39" spans="1:10" x14ac:dyDescent="0.15">
      <c r="A39" s="306" t="s">
        <v>206</v>
      </c>
      <c r="B39" s="289">
        <f>IFERROR(ROUNDUP(B37/B45,0),0)</f>
        <v>4</v>
      </c>
    </row>
    <row r="40" spans="1:10" x14ac:dyDescent="0.15">
      <c r="A40" s="306" t="s">
        <v>187</v>
      </c>
      <c r="B40" s="285">
        <f>B37/B38</f>
        <v>42.972972972972968</v>
      </c>
    </row>
    <row r="41" spans="1:10" x14ac:dyDescent="0.15">
      <c r="A41" s="306" t="s">
        <v>188</v>
      </c>
      <c r="B41" s="285">
        <f>IF(B40&gt;350,350,INDEX('Model parameters'!$C$49:$C$53,MATCH(B$40,'Model parameters'!$C$49:$C$53,-1)))</f>
        <v>50</v>
      </c>
    </row>
    <row r="42" spans="1:10" x14ac:dyDescent="0.15">
      <c r="A42" s="270" t="s">
        <v>177</v>
      </c>
      <c r="B42" s="285">
        <f>SUMIFS('Model parameters'!$A$36:$A$45,'Model parameters'!$D$36:$D$45,"Publiek",'Model parameters'!$E$36:$E$45,B$41)</f>
        <v>5</v>
      </c>
    </row>
    <row r="43" spans="1:10" x14ac:dyDescent="0.15">
      <c r="A43" s="270" t="s">
        <v>211</v>
      </c>
      <c r="B43" s="315">
        <f>B42</f>
        <v>5</v>
      </c>
    </row>
    <row r="44" spans="1:10" x14ac:dyDescent="0.15">
      <c r="B44" s="310"/>
    </row>
    <row r="45" spans="1:10" x14ac:dyDescent="0.15">
      <c r="A45" s="269" t="s">
        <v>212</v>
      </c>
      <c r="B45" s="289">
        <f>MIN(B$20*70%,B41*B38)</f>
        <v>35</v>
      </c>
    </row>
    <row r="46" spans="1:10" x14ac:dyDescent="0.15">
      <c r="A46" s="270" t="s">
        <v>198</v>
      </c>
      <c r="B46" s="285">
        <f>MIN(B$37,B$41*B38)</f>
        <v>128.91891891891891</v>
      </c>
      <c r="J46" s="326"/>
    </row>
    <row r="47" spans="1:10" x14ac:dyDescent="0.15">
      <c r="A47" s="270" t="s">
        <v>213</v>
      </c>
      <c r="B47" s="285">
        <f>B46/B41</f>
        <v>2.5783783783783782</v>
      </c>
      <c r="J47" s="326"/>
    </row>
    <row r="48" spans="1:10" x14ac:dyDescent="0.15">
      <c r="A48" s="270" t="s">
        <v>245</v>
      </c>
      <c r="B48" s="289" t="str">
        <f>IF(B46&lt;B37,"No, please increase the power","Yes")</f>
        <v>Yes</v>
      </c>
    </row>
    <row r="49" spans="1:7" x14ac:dyDescent="0.15">
      <c r="B49" s="393"/>
    </row>
    <row r="50" spans="1:7" x14ac:dyDescent="0.15">
      <c r="B50" s="328"/>
    </row>
    <row r="51" spans="1:7" x14ac:dyDescent="0.15">
      <c r="A51" s="269" t="s">
        <v>216</v>
      </c>
      <c r="B51" s="329"/>
    </row>
    <row r="52" spans="1:7" x14ac:dyDescent="0.15">
      <c r="A52" s="270" t="s">
        <v>217</v>
      </c>
      <c r="B52" s="329">
        <f>INDEX('Model parameters'!$K$14:$K$20,beleidsmakers_calc!B$19)*B$4*B$5</f>
        <v>1048.877027027027</v>
      </c>
    </row>
    <row r="53" spans="1:7" x14ac:dyDescent="0.15">
      <c r="A53" s="270" t="s">
        <v>218</v>
      </c>
      <c r="B53" s="329">
        <f>IFERROR(B$34*B$5*'TCO module beleidsmakers'!$B$36,0)</f>
        <v>1326</v>
      </c>
    </row>
    <row r="54" spans="1:7" x14ac:dyDescent="0.15">
      <c r="A54" s="270" t="s">
        <v>219</v>
      </c>
      <c r="B54" s="329">
        <f>IFERROR(IF(B48="Yes",B$46*INDEX('Model parameters'!$M$36:$M$45,B$42)*B$5,"Inadequate external charging"),0)</f>
        <v>19395.85135135135</v>
      </c>
    </row>
    <row r="56" spans="1:7" x14ac:dyDescent="0.15">
      <c r="A56" s="330" t="s">
        <v>46</v>
      </c>
      <c r="B56" s="332" t="str">
        <f>'TCO module beleidsmakers'!C40</f>
        <v>Elektrisch voertuig</v>
      </c>
      <c r="C56" s="333" t="str">
        <f>'TCO module beleidsmakers'!D40</f>
        <v>Diesel</v>
      </c>
    </row>
    <row r="57" spans="1:7" x14ac:dyDescent="0.15">
      <c r="A57" s="334" t="s">
        <v>50</v>
      </c>
      <c r="B57" s="335" t="str">
        <f>'TCO module beleidsmakers'!C41</f>
        <v>Scenario valid</v>
      </c>
      <c r="C57" s="336" t="str">
        <f>'TCO module beleidsmakers'!D41</f>
        <v>Scenario valid</v>
      </c>
    </row>
    <row r="58" spans="1:7" x14ac:dyDescent="0.15">
      <c r="B58" s="277"/>
      <c r="C58" s="277"/>
    </row>
    <row r="59" spans="1:7" x14ac:dyDescent="0.15">
      <c r="A59" s="330" t="s">
        <v>6</v>
      </c>
      <c r="B59" s="331" t="str">
        <f>'TCO module beleidsmakers'!C43</f>
        <v>Trekker-oplegger</v>
      </c>
      <c r="C59" s="333" t="str">
        <f>C3</f>
        <v>Trekker-oplegger</v>
      </c>
    </row>
    <row r="60" spans="1:7" x14ac:dyDescent="0.15">
      <c r="A60" s="337" t="s">
        <v>52</v>
      </c>
      <c r="B60" s="338" t="str">
        <f>'TCO module beleidsmakers'!C44</f>
        <v>AC20</v>
      </c>
      <c r="C60" s="339" t="str">
        <f>'TCO module ondernemers'!E38</f>
        <v>nvt</v>
      </c>
    </row>
    <row r="61" spans="1:7" x14ac:dyDescent="0.15">
      <c r="A61" s="334" t="s">
        <v>54</v>
      </c>
      <c r="B61" s="335" t="str">
        <f>'TCO module beleidsmakers'!C45</f>
        <v>FC50</v>
      </c>
      <c r="C61" s="336" t="str">
        <f>'TCO module ondernemers'!E39</f>
        <v>nvt</v>
      </c>
    </row>
    <row r="62" spans="1:7" x14ac:dyDescent="0.15">
      <c r="B62" s="277"/>
      <c r="C62" s="277"/>
    </row>
    <row r="63" spans="1:7" x14ac:dyDescent="0.15">
      <c r="A63" s="340" t="s">
        <v>220</v>
      </c>
      <c r="B63" s="341"/>
      <c r="C63" s="342">
        <f>SUM('TCO module beleidsmakers'!$D$71:$D$72)/'TCO module beleidsmakers'!$E$23</f>
        <v>1995</v>
      </c>
    </row>
    <row r="64" spans="1:7" x14ac:dyDescent="0.15">
      <c r="A64" s="343" t="s">
        <v>246</v>
      </c>
      <c r="B64" s="345"/>
      <c r="C64" s="346">
        <f>$C$63*INDEX('Model parameters'!$B$77:$E$83,$B$19,1)/1000</f>
        <v>6462.131978519903</v>
      </c>
      <c r="F64" s="268"/>
      <c r="G64"/>
    </row>
    <row r="65" spans="1:7" x14ac:dyDescent="0.15">
      <c r="A65" s="343" t="s">
        <v>247</v>
      </c>
      <c r="B65" s="345"/>
      <c r="C65" s="346">
        <f>$C$63*INDEX('Model parameters'!$B$77:$E$83,$B$19,2)</f>
        <v>91.710277282872511</v>
      </c>
      <c r="F65" s="268"/>
      <c r="G65"/>
    </row>
    <row r="66" spans="1:7" x14ac:dyDescent="0.15">
      <c r="A66" s="347" t="s">
        <v>248</v>
      </c>
      <c r="B66" s="349"/>
      <c r="C66" s="350">
        <f>$C$63*INDEX('Model parameters'!$B$77:$E$83,$B$19,3)</f>
        <v>15829.435039580203</v>
      </c>
      <c r="F66" s="268"/>
      <c r="G66"/>
    </row>
    <row r="67" spans="1:7" x14ac:dyDescent="0.15">
      <c r="B67" s="291"/>
      <c r="C67" s="291"/>
    </row>
    <row r="68" spans="1:7" x14ac:dyDescent="0.15">
      <c r="A68" s="351" t="s">
        <v>224</v>
      </c>
      <c r="B68" s="352">
        <f>(B34/INDEX('Model parameters'!$G$36:$G$45,$B$30)+B46/INDEX('Model parameters'!$G$36:$G$45,B43))*$B$5/'Model parameters'!$B$94</f>
        <v>50649.818217129752</v>
      </c>
      <c r="C68" s="353"/>
    </row>
    <row r="69" spans="1:7" x14ac:dyDescent="0.15">
      <c r="A69" s="255" t="s">
        <v>249</v>
      </c>
      <c r="B69" s="354">
        <f>IF(B$57="Scenario valid",'Model parameters'!$B$87*B$68,NA())</f>
        <v>18706.872163154003</v>
      </c>
      <c r="C69" s="355"/>
    </row>
    <row r="70" spans="1:7" x14ac:dyDescent="0.15">
      <c r="A70" s="255" t="s">
        <v>250</v>
      </c>
      <c r="B70" s="354">
        <f>IF(B$57="Scenario valid",'Model parameters'!$B$88*B$68,NA())</f>
        <v>0</v>
      </c>
      <c r="C70" s="355"/>
    </row>
    <row r="71" spans="1:7" x14ac:dyDescent="0.15">
      <c r="A71" s="356" t="s">
        <v>251</v>
      </c>
      <c r="B71" s="357">
        <f>IF(B$57="Scenario valid",'Model parameters'!$B$89*B$68,NA())</f>
        <v>23143.470771017506</v>
      </c>
      <c r="C71" s="358"/>
    </row>
    <row r="72" spans="1:7" x14ac:dyDescent="0.15">
      <c r="B72" s="277"/>
      <c r="C72" s="277"/>
    </row>
    <row r="73" spans="1:7" x14ac:dyDescent="0.15">
      <c r="A73" s="359" t="s">
        <v>228</v>
      </c>
      <c r="B73" s="360">
        <f>$H$25</f>
        <v>34459.45945945946</v>
      </c>
      <c r="C73" s="361">
        <f>$H$24</f>
        <v>35000</v>
      </c>
    </row>
    <row r="74" spans="1:7" x14ac:dyDescent="0.15">
      <c r="A74" s="362" t="s">
        <v>252</v>
      </c>
      <c r="B74" s="363">
        <f>IF(B$57="Scenario valid",$B$73*INDEX('Model parameters'!$E$77:$E$83,$B$19),NA())</f>
        <v>2351.2820142658493</v>
      </c>
      <c r="C74" s="364">
        <f>IF(C$57="Scenario valid",$C$73*INDEX('Model parameters'!$E$77:$E$83,$B$19),NA())</f>
        <v>2388.1648693915881</v>
      </c>
    </row>
    <row r="75" spans="1:7" x14ac:dyDescent="0.15">
      <c r="B75" s="277"/>
      <c r="C75" s="277"/>
    </row>
    <row r="76" spans="1:7" x14ac:dyDescent="0.15">
      <c r="A76" t="s">
        <v>230</v>
      </c>
      <c r="B76" s="277"/>
      <c r="C76" s="277"/>
    </row>
    <row r="77" spans="1:7" x14ac:dyDescent="0.15">
      <c r="A77" s="365" t="s">
        <v>231</v>
      </c>
      <c r="B77" s="366"/>
      <c r="C77" s="367"/>
    </row>
    <row r="78" spans="1:7" x14ac:dyDescent="0.15">
      <c r="A78" s="368" t="s">
        <v>232</v>
      </c>
      <c r="B78" s="369">
        <f>B69/1000</f>
        <v>18.706872163154003</v>
      </c>
      <c r="C78" s="370">
        <f>C64/1000</f>
        <v>6.4621319785199027</v>
      </c>
    </row>
    <row r="79" spans="1:7" x14ac:dyDescent="0.15">
      <c r="A79" s="368" t="s">
        <v>233</v>
      </c>
      <c r="B79" s="369">
        <f>(B70+B74)/10^3</f>
        <v>2.3512820142658493</v>
      </c>
      <c r="C79" s="370">
        <f>(C65+C74)/10^3</f>
        <v>2.4798751466744609</v>
      </c>
    </row>
    <row r="80" spans="1:7" x14ac:dyDescent="0.15">
      <c r="A80" s="371" t="s">
        <v>234</v>
      </c>
      <c r="B80" s="372">
        <f>B71/10^3</f>
        <v>23.143470771017505</v>
      </c>
      <c r="C80" s="373">
        <f>C66/10^3</f>
        <v>15.829435039580202</v>
      </c>
    </row>
    <row r="81" spans="1:3" x14ac:dyDescent="0.15">
      <c r="B81" s="374"/>
      <c r="C81" s="374"/>
    </row>
    <row r="82" spans="1:3" x14ac:dyDescent="0.15">
      <c r="A82" s="375" t="s">
        <v>235</v>
      </c>
      <c r="B82" s="376"/>
      <c r="C82" s="377"/>
    </row>
    <row r="83" spans="1:3" x14ac:dyDescent="0.15">
      <c r="A83" s="378" t="s">
        <v>232</v>
      </c>
      <c r="B83" s="379">
        <f>0</f>
        <v>0</v>
      </c>
      <c r="C83" s="380">
        <f>C78</f>
        <v>6.4621319785199027</v>
      </c>
    </row>
    <row r="84" spans="1:3" x14ac:dyDescent="0.15">
      <c r="A84" s="378" t="s">
        <v>233</v>
      </c>
      <c r="B84" s="379">
        <f>(B74)/10^3</f>
        <v>2.3512820142658493</v>
      </c>
      <c r="C84" s="380">
        <f>(C65+C74)/10^3</f>
        <v>2.4798751466744609</v>
      </c>
    </row>
    <row r="85" spans="1:3" x14ac:dyDescent="0.15">
      <c r="A85" s="381" t="s">
        <v>234</v>
      </c>
      <c r="B85" s="382">
        <f>0</f>
        <v>0</v>
      </c>
      <c r="C85" s="383">
        <f>C80</f>
        <v>15.829435039580202</v>
      </c>
    </row>
  </sheetData>
  <conditionalFormatting sqref="B34:B35">
    <cfRule type="cellIs" dxfId="7" priority="2" operator="greaterThan">
      <formula>0</formula>
    </cfRule>
  </conditionalFormatting>
  <conditionalFormatting sqref="B49">
    <cfRule type="cellIs" dxfId="6" priority="3" operator="greaterThan">
      <formula>0</formula>
    </cfRule>
  </conditionalFormatting>
  <conditionalFormatting sqref="B44">
    <cfRule type="colorScale" priority="4">
      <colorScale>
        <cfvo type="min"/>
        <cfvo type="percentile" val="50"/>
        <cfvo type="max"/>
        <color rgb="FFF8696B"/>
        <color rgb="FFFFEB84"/>
        <color rgb="FF63BE7B"/>
      </colorScale>
    </cfRule>
  </conditionalFormatting>
  <conditionalFormatting sqref="B57:C57">
    <cfRule type="containsText" dxfId="5" priority="5" operator="containsText" text="Vehicle technology insufficient">
      <formula>NOT(ISERROR(SEARCH("Vehicle technology insufficient",B57)))</formula>
    </cfRule>
  </conditionalFormatting>
  <conditionalFormatting sqref="D20:D22">
    <cfRule type="colorScale" priority="6">
      <colorScale>
        <cfvo type="min"/>
        <cfvo type="percentile" val="50"/>
        <cfvo type="max"/>
        <color rgb="FFF8696B"/>
        <color rgb="FFFFEB84"/>
        <color rgb="FF63BE7B"/>
      </colorScale>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'Model parameters'!$A$14:$A$20</xm:f>
          </x14:formula1>
          <x14:formula2>
            <xm:f>0</xm:f>
          </x14:formula2>
          <xm:sqref>B3:C3</xm:sqref>
        </x14:dataValidation>
        <x14:dataValidation type="list" allowBlank="1" showDropDown="1" showInputMessage="1" showErrorMessage="1" xr:uid="{00000000-0002-0000-0400-000001000000}">
          <x14:formula1>
            <xm:f>'Model parameters'!#REF!</xm:f>
          </x14:formula1>
          <x14:formula2>
            <xm:f>0</xm:f>
          </x14:formula2>
          <xm:sqref>B30:C30 B43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R85"/>
  <sheetViews>
    <sheetView zoomScaleNormal="100" workbookViewId="0">
      <selection activeCell="D4" sqref="D4"/>
    </sheetView>
  </sheetViews>
  <sheetFormatPr defaultColWidth="8.7109375" defaultRowHeight="10.5" x14ac:dyDescent="0.15"/>
  <cols>
    <col min="1" max="1" width="43.140625" customWidth="1"/>
    <col min="2" max="4" width="26.5703125" customWidth="1"/>
    <col min="5" max="6" width="10.42578125" customWidth="1"/>
    <col min="7" max="7" width="35.42578125" customWidth="1"/>
    <col min="8" max="8" width="11.5703125" style="268" customWidth="1"/>
    <col min="9" max="9" width="14.5703125" customWidth="1"/>
    <col min="10" max="10" width="25.140625" customWidth="1"/>
    <col min="11" max="11" width="10.85546875" customWidth="1"/>
    <col min="12" max="18" width="4.5703125" customWidth="1"/>
  </cols>
  <sheetData>
    <row r="1" spans="1:18" x14ac:dyDescent="0.15">
      <c r="G1" s="192" t="s">
        <v>151</v>
      </c>
    </row>
    <row r="2" spans="1:18" ht="21" x14ac:dyDescent="0.15">
      <c r="A2" s="269" t="s">
        <v>152</v>
      </c>
      <c r="B2" s="270" t="s">
        <v>153</v>
      </c>
      <c r="C2" s="270" t="s">
        <v>154</v>
      </c>
      <c r="D2" s="271"/>
      <c r="G2" s="297" t="s">
        <v>109</v>
      </c>
      <c r="H2" s="273" t="s">
        <v>156</v>
      </c>
      <c r="I2" s="273" t="s">
        <v>157</v>
      </c>
      <c r="J2" s="274" t="s">
        <v>158</v>
      </c>
    </row>
    <row r="3" spans="1:18" s="277" customFormat="1" x14ac:dyDescent="0.15">
      <c r="A3" s="275" t="s">
        <v>159</v>
      </c>
      <c r="B3" s="276" t="str">
        <f>$D$3</f>
        <v>Trekker-oplegger</v>
      </c>
      <c r="C3" s="276" t="str">
        <f>$D$3</f>
        <v>Trekker-oplegger</v>
      </c>
      <c r="D3" s="276" t="str">
        <f>'TCO module ondernemers'!$B$12</f>
        <v>Trekker-oplegger</v>
      </c>
      <c r="G3" s="278" t="s">
        <v>160</v>
      </c>
      <c r="H3" s="279">
        <f>'TCO module ondernemers'!E12</f>
        <v>0</v>
      </c>
      <c r="I3" s="279">
        <f>IF(H3=0,$D$20,H3)</f>
        <v>50</v>
      </c>
      <c r="J3" s="280" t="str">
        <f>TEXT($D$20,"0")</f>
        <v>50</v>
      </c>
      <c r="K3" s="281"/>
      <c r="L3" s="281"/>
      <c r="M3" s="281"/>
      <c r="N3" s="281"/>
      <c r="O3" s="281"/>
      <c r="P3" s="281"/>
      <c r="Q3" s="281"/>
      <c r="R3" s="281"/>
    </row>
    <row r="4" spans="1:18" x14ac:dyDescent="0.15">
      <c r="A4" s="270" t="s">
        <v>236</v>
      </c>
      <c r="B4" s="282">
        <f>D4</f>
        <v>463.32046332046332</v>
      </c>
      <c r="C4" s="282">
        <f>D4</f>
        <v>463.32046332046332</v>
      </c>
      <c r="D4" s="282">
        <f>'TCO module ondernemers'!$B$14/'ondernemers_calc (2)'!D5</f>
        <v>463.32046332046332</v>
      </c>
      <c r="G4" s="278" t="s">
        <v>12</v>
      </c>
      <c r="H4" s="273">
        <f>'TCO module ondernemers'!E13</f>
        <v>0</v>
      </c>
      <c r="I4" s="279">
        <f>IF(H4=0,$D$28,H4)</f>
        <v>20</v>
      </c>
      <c r="J4" s="280" t="str">
        <f>TEXT($D$28,"0")</f>
        <v>20</v>
      </c>
    </row>
    <row r="5" spans="1:18" x14ac:dyDescent="0.15">
      <c r="A5" s="270" t="s">
        <v>164</v>
      </c>
      <c r="B5" s="282">
        <f>$I$33-'TCO module ondernemers'!$B$30</f>
        <v>255</v>
      </c>
      <c r="C5" s="282">
        <f>$I$33-'TCO module ondernemers'!$B$30</f>
        <v>255</v>
      </c>
      <c r="D5" s="282">
        <f>$I$33-'TCO module ondernemers'!$C$30</f>
        <v>259</v>
      </c>
      <c r="G5" s="278" t="s">
        <v>26</v>
      </c>
      <c r="H5" s="273"/>
      <c r="I5" s="273"/>
      <c r="J5" s="284"/>
    </row>
    <row r="6" spans="1:18" x14ac:dyDescent="0.15">
      <c r="A6" s="270" t="s">
        <v>237</v>
      </c>
      <c r="B6" s="285">
        <f>B4*B21+B22*B12</f>
        <v>579.15057915057912</v>
      </c>
      <c r="C6" s="285">
        <f>C4*C21+C22*C12</f>
        <v>579.15057915057912</v>
      </c>
      <c r="D6" s="285">
        <f>D4*D21+D22*D12</f>
        <v>579.15057915057912</v>
      </c>
      <c r="G6" s="278" t="s">
        <v>167</v>
      </c>
      <c r="H6" s="286">
        <f>'TCO module ondernemers'!B21</f>
        <v>0</v>
      </c>
      <c r="I6" s="287">
        <f>'TCO module beleidsmakers'!E23</f>
        <v>1.9219999999999999</v>
      </c>
      <c r="J6" s="288" t="str">
        <f>TEXT('Model parameters'!$B$92,"0,00")</f>
        <v>1,39</v>
      </c>
    </row>
    <row r="7" spans="1:18" x14ac:dyDescent="0.15">
      <c r="A7" s="270"/>
      <c r="B7" s="285"/>
      <c r="C7" s="285"/>
      <c r="D7" s="282" t="str">
        <f>'TCO module ondernemers'!B13</f>
        <v>niet gekoeld</v>
      </c>
      <c r="G7" s="278" t="s">
        <v>131</v>
      </c>
      <c r="H7" s="286">
        <f>'TCO module ondernemers'!B22</f>
        <v>0</v>
      </c>
      <c r="I7" s="287">
        <f>IF(H7=0,INDEX('Model parameters'!$L$36:$L$45,'ondernemers_calc (2)'!B$29),H7)-'TCO module beleidsmakers'!$B$35</f>
        <v>0.13</v>
      </c>
      <c r="J7" s="288" t="str">
        <f>TEXT(INDEX('Model parameters'!$L$36:$L$45,'ondernemers_calc (2)'!B$29),"0,00")</f>
        <v>0,13</v>
      </c>
    </row>
    <row r="8" spans="1:18" x14ac:dyDescent="0.15">
      <c r="A8" s="270" t="s">
        <v>169</v>
      </c>
      <c r="B8" s="289">
        <f>$D$8</f>
        <v>40.8333333333333</v>
      </c>
      <c r="C8" s="289">
        <f>$D$8</f>
        <v>40.8333333333333</v>
      </c>
      <c r="D8" s="289">
        <f>INDEX(speed,D19)</f>
        <v>40.8333333333333</v>
      </c>
      <c r="G8" s="290"/>
      <c r="H8" s="291"/>
      <c r="I8" s="291"/>
      <c r="J8" s="292"/>
    </row>
    <row r="9" spans="1:18" x14ac:dyDescent="0.15">
      <c r="A9" s="270" t="s">
        <v>170</v>
      </c>
      <c r="B9" s="293">
        <f>$D$9</f>
        <v>0.34821428571428598</v>
      </c>
      <c r="C9" s="293">
        <f>$D$9</f>
        <v>0.34821428571428598</v>
      </c>
      <c r="D9" s="293">
        <f>INDEX(waiting,D19)</f>
        <v>0.34821428571428598</v>
      </c>
      <c r="E9" s="294"/>
      <c r="F9" s="294"/>
      <c r="G9" s="278" t="s">
        <v>110</v>
      </c>
      <c r="H9" s="273"/>
      <c r="I9" s="273"/>
      <c r="J9" s="284"/>
    </row>
    <row r="10" spans="1:18" x14ac:dyDescent="0.15">
      <c r="A10" s="270" t="s">
        <v>171</v>
      </c>
      <c r="B10" s="270">
        <f>$D$10</f>
        <v>24</v>
      </c>
      <c r="C10" s="270">
        <f>$D$10</f>
        <v>24</v>
      </c>
      <c r="D10" s="270">
        <v>24</v>
      </c>
      <c r="G10" s="278" t="s">
        <v>36</v>
      </c>
      <c r="H10" s="273">
        <f>'TCO module ondernemers'!C26</f>
        <v>5</v>
      </c>
      <c r="I10" s="295">
        <f>H10</f>
        <v>5</v>
      </c>
      <c r="J10" s="284"/>
    </row>
    <row r="11" spans="1:18" x14ac:dyDescent="0.15">
      <c r="A11" s="270" t="s">
        <v>172</v>
      </c>
      <c r="B11" s="285">
        <f>$D$11</f>
        <v>11.34662359152156</v>
      </c>
      <c r="C11" s="285">
        <f>$D$11</f>
        <v>11.34662359152156</v>
      </c>
      <c r="D11" s="285">
        <f>B4/D8</f>
        <v>11.34662359152156</v>
      </c>
      <c r="G11" s="278" t="s">
        <v>38</v>
      </c>
      <c r="H11" s="273">
        <f>'TCO module ondernemers'!C27</f>
        <v>15000</v>
      </c>
      <c r="I11" s="296">
        <f>IF(H11=0,INDEX('Model parameters'!$B$59:$B$73,$I$10)*INDEX('Model parameters'!$E$14:$E$20,'ondernemers_calc (2)'!$D$19),H11)</f>
        <v>15000</v>
      </c>
      <c r="J11" s="284" t="str">
        <f>TEXT(INDEX('Model parameters'!$B$59:$B$73,$I$10)*INDEX('Model parameters'!$E$14:$E$20,'ondernemers_calc (2)'!$D$19),"€ #.##0")</f>
        <v>€ 50.797</v>
      </c>
    </row>
    <row r="12" spans="1:18" x14ac:dyDescent="0.15">
      <c r="A12" s="270" t="s">
        <v>173</v>
      </c>
      <c r="B12" s="285">
        <f>$D$12</f>
        <v>16</v>
      </c>
      <c r="C12" s="285">
        <f>$D$12</f>
        <v>16</v>
      </c>
      <c r="D12" s="285">
        <f>MIN(D11/(1-D9),D10-D14)</f>
        <v>16</v>
      </c>
      <c r="G12" s="297" t="s">
        <v>40</v>
      </c>
      <c r="H12" s="273">
        <f>'TCO module ondernemers'!C28</f>
        <v>2600</v>
      </c>
      <c r="I12" s="295">
        <f>H12</f>
        <v>2600</v>
      </c>
      <c r="J12" s="284"/>
    </row>
    <row r="13" spans="1:18" x14ac:dyDescent="0.15">
      <c r="A13" s="270" t="s">
        <v>174</v>
      </c>
      <c r="B13" s="285">
        <f>$D$13</f>
        <v>3</v>
      </c>
      <c r="C13" s="285">
        <f>$D$13</f>
        <v>3</v>
      </c>
      <c r="D13" s="285">
        <v>3</v>
      </c>
      <c r="G13" s="297" t="s">
        <v>42</v>
      </c>
      <c r="H13" s="279">
        <f>'TCO module ondernemers'!C29</f>
        <v>1500</v>
      </c>
      <c r="I13" s="295">
        <f>H13</f>
        <v>1500</v>
      </c>
      <c r="J13" s="288"/>
    </row>
    <row r="14" spans="1:18" x14ac:dyDescent="0.15">
      <c r="A14" s="270" t="s">
        <v>175</v>
      </c>
      <c r="B14" s="285">
        <f>D14</f>
        <v>8</v>
      </c>
      <c r="C14" s="285">
        <f>D14</f>
        <v>8</v>
      </c>
      <c r="D14" s="285">
        <v>8</v>
      </c>
      <c r="G14" s="278" t="s">
        <v>43</v>
      </c>
      <c r="H14" s="279">
        <f>'TCO module ondernemers'!C30</f>
        <v>1</v>
      </c>
      <c r="I14" s="295">
        <f>H14</f>
        <v>1</v>
      </c>
      <c r="J14" s="298"/>
    </row>
    <row r="15" spans="1:18" x14ac:dyDescent="0.15">
      <c r="B15" s="299"/>
      <c r="C15" s="299"/>
      <c r="D15" s="300"/>
      <c r="G15" s="290"/>
      <c r="I15" s="268"/>
      <c r="J15" s="389"/>
    </row>
    <row r="16" spans="1:18" x14ac:dyDescent="0.15">
      <c r="A16" s="302" t="s">
        <v>177</v>
      </c>
      <c r="B16" s="302" t="str">
        <f>B3&amp;" "&amp;B20&amp;" kWh"</f>
        <v>Trekker-oplegger 50 kWh</v>
      </c>
      <c r="C16" s="302" t="str">
        <f>C3&amp;" "&amp;C20&amp;" kWh"</f>
        <v>Trekker-oplegger 50 kWh</v>
      </c>
      <c r="D16" s="303"/>
      <c r="G16" s="297" t="s">
        <v>109</v>
      </c>
      <c r="H16" s="279"/>
      <c r="I16" s="279"/>
      <c r="J16" s="288"/>
    </row>
    <row r="17" spans="1:10" x14ac:dyDescent="0.15">
      <c r="A17" s="302" t="s">
        <v>177</v>
      </c>
      <c r="B17" s="302" t="e">
        <f>MATCH(B16,'Model parameters'!$A$4:$A$10,0)</f>
        <v>#N/A</v>
      </c>
      <c r="C17" s="302" t="e">
        <f>MATCH(C16,'Model parameters'!$A$4:$A$10,0)</f>
        <v>#N/A</v>
      </c>
      <c r="D17" s="303"/>
      <c r="G17" s="278" t="s">
        <v>36</v>
      </c>
      <c r="H17" s="279">
        <f>'TCO module ondernemers'!B26</f>
        <v>5</v>
      </c>
      <c r="I17" s="295">
        <f>H17</f>
        <v>5</v>
      </c>
      <c r="J17" s="288"/>
    </row>
    <row r="18" spans="1:10" x14ac:dyDescent="0.15">
      <c r="A18" s="304"/>
      <c r="B18" s="304"/>
      <c r="C18" s="304"/>
      <c r="D18" s="305"/>
      <c r="G18" s="278" t="s">
        <v>38</v>
      </c>
      <c r="H18" s="279">
        <f>'TCO module ondernemers'!B27</f>
        <v>0</v>
      </c>
      <c r="I18" s="296" t="e">
        <f>IF(H18&lt;=0,INDEX('Model parameters'!$B$59:$B$73,$I$17)*INDEX('Model parameters'!$E$4:$E$10,$C$17),H18)</f>
        <v>#N/A</v>
      </c>
      <c r="J18" s="284" t="e">
        <f>TEXT(INDEX('Model parameters'!$B$59:$B$73,$I$17)*INDEX('Model parameters'!$E$4:$E$10,$C$17),"€ #.##0")</f>
        <v>#N/A</v>
      </c>
    </row>
    <row r="19" spans="1:10" x14ac:dyDescent="0.15">
      <c r="A19" s="269" t="s">
        <v>178</v>
      </c>
      <c r="B19" s="306">
        <f>$D$19</f>
        <v>7</v>
      </c>
      <c r="C19" s="306">
        <f>$D$19</f>
        <v>7</v>
      </c>
      <c r="D19" s="306">
        <f>MATCH('ondernemers_calc (2)'!D$3,'Model parameters'!$A$14:$A$20,0)</f>
        <v>7</v>
      </c>
      <c r="G19" s="297" t="s">
        <v>40</v>
      </c>
      <c r="H19" s="279">
        <f>'TCO module ondernemers'!B28</f>
        <v>2559.8455598455598</v>
      </c>
      <c r="I19" s="295">
        <f>H19</f>
        <v>2559.8455598455598</v>
      </c>
      <c r="J19" s="288"/>
    </row>
    <row r="20" spans="1:10" x14ac:dyDescent="0.15">
      <c r="A20" s="270" t="s">
        <v>179</v>
      </c>
      <c r="B20" s="289">
        <f>$I$3</f>
        <v>50</v>
      </c>
      <c r="C20" s="289">
        <f>$I$3</f>
        <v>50</v>
      </c>
      <c r="D20" s="289">
        <f>IF(D$6/80%&gt;$E$23,$E$23,INDEX($E$20:$E$22,MATCH(D$6/80%,$E$20:$E$22,-1)))</f>
        <v>50</v>
      </c>
      <c r="E20" s="307">
        <f>INDEX('Model parameters'!$B$25:$D$27,1,'ondernemers_calc (2)'!$D$19-4)</f>
        <v>50</v>
      </c>
      <c r="G20" s="297" t="s">
        <v>42</v>
      </c>
      <c r="H20" s="279">
        <f>'TCO module ondernemers'!B29</f>
        <v>5000</v>
      </c>
      <c r="I20" s="295">
        <f>H20</f>
        <v>5000</v>
      </c>
      <c r="J20" s="288"/>
    </row>
    <row r="21" spans="1:10" x14ac:dyDescent="0.15">
      <c r="A21" s="270" t="s">
        <v>180</v>
      </c>
      <c r="B21" s="308">
        <f>INDEX(EC_rate,B$19)</f>
        <v>1.25</v>
      </c>
      <c r="C21" s="308">
        <f>INDEX(EC_rate,C$19)</f>
        <v>1.25</v>
      </c>
      <c r="D21" s="308">
        <f>INDEX(EC_rate,D$19)</f>
        <v>1.25</v>
      </c>
      <c r="E21" s="309">
        <f>INDEX('Model parameters'!$B$25:$D$27,2,'ondernemers_calc (2)'!$D$19-4)</f>
        <v>0</v>
      </c>
      <c r="G21" s="278" t="s">
        <v>43</v>
      </c>
      <c r="H21" s="279">
        <f>'TCO module ondernemers'!B30</f>
        <v>5</v>
      </c>
      <c r="I21" s="295">
        <f>H21</f>
        <v>5</v>
      </c>
      <c r="J21" s="288"/>
    </row>
    <row r="22" spans="1:10" x14ac:dyDescent="0.15">
      <c r="A22" s="270" t="s">
        <v>181</v>
      </c>
      <c r="B22" s="308">
        <f>IF($D$7="gekoeld",INDEX(refrigeration,B$19),0)</f>
        <v>0</v>
      </c>
      <c r="C22" s="308">
        <f>IF($D$7="gekoeld",INDEX(refrigeration,C$19),0)</f>
        <v>0</v>
      </c>
      <c r="D22" s="308">
        <f>IF($D$7="gekoeld",INDEX(refrigeration,D$19),0)</f>
        <v>0</v>
      </c>
      <c r="E22" s="309">
        <f>INDEX('Model parameters'!$B$25:$D$27,3,'ondernemers_calc (2)'!$D$19-4)</f>
        <v>0</v>
      </c>
      <c r="G22" s="278" t="s">
        <v>27</v>
      </c>
      <c r="H22" s="279"/>
      <c r="I22" s="279"/>
      <c r="J22" s="288"/>
    </row>
    <row r="23" spans="1:10" x14ac:dyDescent="0.15">
      <c r="B23" s="310"/>
      <c r="C23" s="311"/>
      <c r="E23" s="312">
        <f>E20</f>
        <v>50</v>
      </c>
      <c r="G23" s="297" t="s">
        <v>29</v>
      </c>
      <c r="H23" s="279">
        <f>'TCO module ondernemers'!E22</f>
        <v>0</v>
      </c>
      <c r="I23" s="296" t="e">
        <f>IF(H23&lt;=0,INDEX('Model parameters'!$E$4:$E$10,'ondernemers_calc (2)'!$C$17),H23)</f>
        <v>#N/A</v>
      </c>
      <c r="J23" s="288" t="e">
        <f>TEXT(INDEX('Model parameters'!$E$4:$E$10,'ondernemers_calc (2)'!$C$17),"€ #.##0")</f>
        <v>#N/A</v>
      </c>
    </row>
    <row r="24" spans="1:10" x14ac:dyDescent="0.15">
      <c r="A24" s="269" t="s">
        <v>182</v>
      </c>
      <c r="B24" s="270"/>
      <c r="C24" s="270"/>
      <c r="D24" s="289"/>
      <c r="G24" s="278" t="s">
        <v>31</v>
      </c>
      <c r="H24" s="279">
        <f>'TCO module ondernemers'!E23</f>
        <v>0</v>
      </c>
      <c r="I24" s="295">
        <f>H24</f>
        <v>0</v>
      </c>
      <c r="J24" s="288"/>
    </row>
    <row r="25" spans="1:10" x14ac:dyDescent="0.15">
      <c r="A25" s="270" t="s">
        <v>184</v>
      </c>
      <c r="B25" s="313">
        <f>B14</f>
        <v>8</v>
      </c>
      <c r="C25" s="313">
        <f>C14</f>
        <v>8</v>
      </c>
      <c r="D25" s="313">
        <f>D14</f>
        <v>8</v>
      </c>
      <c r="G25" s="278" t="s">
        <v>185</v>
      </c>
      <c r="H25" s="279"/>
      <c r="I25" s="279"/>
      <c r="J25" s="288"/>
    </row>
    <row r="26" spans="1:10" x14ac:dyDescent="0.15">
      <c r="A26" s="270" t="s">
        <v>186</v>
      </c>
      <c r="B26" s="313">
        <f>B20*80%</f>
        <v>40</v>
      </c>
      <c r="C26" s="313">
        <f>C20*80%</f>
        <v>40</v>
      </c>
      <c r="D26" s="313">
        <f>D20*80%</f>
        <v>40</v>
      </c>
      <c r="G26" s="278" t="s">
        <v>39</v>
      </c>
      <c r="H26" s="279">
        <f>'TCO module ondernemers'!E27</f>
        <v>0</v>
      </c>
      <c r="I26" s="296">
        <f>IF(H26&lt;=0,INDEX('Model parameters'!$I$36:$I$45,'ondernemers_calc (2)'!$C$29),H26)</f>
        <v>2200</v>
      </c>
      <c r="J26" s="288"/>
    </row>
    <row r="27" spans="1:10" x14ac:dyDescent="0.15">
      <c r="A27" s="270" t="s">
        <v>187</v>
      </c>
      <c r="B27" s="313">
        <f>B26/B25</f>
        <v>5</v>
      </c>
      <c r="C27" s="313">
        <f>C26/C25</f>
        <v>5</v>
      </c>
      <c r="D27" s="313">
        <f>D26/D25</f>
        <v>5</v>
      </c>
      <c r="G27" s="278" t="s">
        <v>41</v>
      </c>
      <c r="H27" s="279">
        <f>'TCO module ondernemers'!$E$28</f>
        <v>0</v>
      </c>
      <c r="I27" s="296">
        <f>IF(H27&lt;=0,INDEX('Model parameters'!$J$36:$J$45,'ondernemers_calc (2)'!$C$29),H27)</f>
        <v>620</v>
      </c>
      <c r="J27" s="288"/>
    </row>
    <row r="28" spans="1:10" x14ac:dyDescent="0.15">
      <c r="A28" s="270" t="s">
        <v>188</v>
      </c>
      <c r="B28" s="313">
        <f>$I$4</f>
        <v>20</v>
      </c>
      <c r="C28" s="313">
        <f>$I$4</f>
        <v>20</v>
      </c>
      <c r="D28" s="313">
        <f>IF(D27&gt;'Model parameters'!$B$49,'Model parameters'!$B$49,INDEX('Model parameters'!$B$49:$B$53,MATCH(D$27,'Model parameters'!$B$49:$B$53,-1)))</f>
        <v>20</v>
      </c>
      <c r="G28" s="278" t="s">
        <v>31</v>
      </c>
      <c r="H28" s="279">
        <f>'TCO module ondernemers'!E29</f>
        <v>0</v>
      </c>
      <c r="I28" s="295">
        <f>H28</f>
        <v>0</v>
      </c>
      <c r="J28" s="288"/>
    </row>
    <row r="29" spans="1:10" x14ac:dyDescent="0.15">
      <c r="A29" s="270" t="s">
        <v>177</v>
      </c>
      <c r="B29" s="314">
        <f>SUMIFS('Model parameters'!$A$36:$A$45,'Model parameters'!$D$36:$D$45,"Privaat",'Model parameters'!$E$36:$E$45,B$28)</f>
        <v>4</v>
      </c>
      <c r="C29" s="314">
        <f>SUMIFS('Model parameters'!$A$36:$A$45,'Model parameters'!$D$36:$D$45,"Privaat",'Model parameters'!$E$36:$E$45,C$28)</f>
        <v>4</v>
      </c>
      <c r="D29" s="314">
        <f>SUMIFS('Model parameters'!$A$36:$A$45,'Model parameters'!$D$36:$D$45,"Privaat",'Model parameters'!$E$36:$E$45,D$28)</f>
        <v>4</v>
      </c>
      <c r="G29" s="548"/>
    </row>
    <row r="30" spans="1:10" x14ac:dyDescent="0.15">
      <c r="A30" s="270" t="s">
        <v>191</v>
      </c>
      <c r="B30" s="315">
        <f>B29</f>
        <v>4</v>
      </c>
      <c r="C30" s="315">
        <f>C29</f>
        <v>4</v>
      </c>
      <c r="D30" s="315">
        <f>D29</f>
        <v>4</v>
      </c>
      <c r="G30" s="278" t="s">
        <v>239</v>
      </c>
      <c r="H30" s="316"/>
      <c r="I30" s="317">
        <f>'TCO module ondernemers'!$B$14</f>
        <v>120000</v>
      </c>
    </row>
    <row r="31" spans="1:10" x14ac:dyDescent="0.15">
      <c r="B31" s="310"/>
      <c r="C31" s="310"/>
      <c r="G31" s="278" t="s">
        <v>240</v>
      </c>
      <c r="H31" s="316"/>
      <c r="I31" s="317">
        <f>C4*C5</f>
        <v>118146.71814671815</v>
      </c>
    </row>
    <row r="32" spans="1:10" x14ac:dyDescent="0.15">
      <c r="B32" s="310"/>
      <c r="C32" s="310"/>
      <c r="G32" s="548"/>
    </row>
    <row r="33" spans="1:11" x14ac:dyDescent="0.15">
      <c r="A33" s="319" t="s">
        <v>196</v>
      </c>
      <c r="B33" s="285">
        <f>MIN(B26,B20*INDEX('Model parameters'!$F$36:$F$45,B$30))</f>
        <v>40</v>
      </c>
      <c r="C33" s="285">
        <f>MIN(C26,C20*INDEX('Model parameters'!$F$36:$F$45,C$30),C28*C25)</f>
        <v>40</v>
      </c>
      <c r="G33" s="278" t="s">
        <v>241</v>
      </c>
      <c r="H33" s="316"/>
      <c r="I33" s="317">
        <v>260</v>
      </c>
    </row>
    <row r="34" spans="1:11" x14ac:dyDescent="0.15">
      <c r="A34" s="270" t="s">
        <v>198</v>
      </c>
      <c r="B34" s="285">
        <f>MIN(B$33,B$6)</f>
        <v>40</v>
      </c>
      <c r="C34" s="285">
        <f>MIN(C$33,C$6)</f>
        <v>40</v>
      </c>
      <c r="G34" s="548"/>
    </row>
    <row r="35" spans="1:11" x14ac:dyDescent="0.15">
      <c r="B35" s="393"/>
      <c r="C35" s="393"/>
      <c r="G35" s="278" t="s">
        <v>242</v>
      </c>
      <c r="H35" s="316"/>
      <c r="I35" s="317">
        <f>D12*D5</f>
        <v>4144</v>
      </c>
    </row>
    <row r="36" spans="1:11" x14ac:dyDescent="0.15">
      <c r="A36" s="269" t="s">
        <v>201</v>
      </c>
      <c r="B36" s="270"/>
      <c r="C36" s="270"/>
      <c r="G36" s="548"/>
    </row>
    <row r="37" spans="1:11" x14ac:dyDescent="0.15">
      <c r="A37" s="270" t="s">
        <v>202</v>
      </c>
      <c r="B37" s="285">
        <f>IF(B6-SUM(B34:B34)&gt;0,B6-SUM(B34:B34),0)</f>
        <v>539.15057915057912</v>
      </c>
      <c r="C37" s="285">
        <f>IF(C6-SUM(C34:C34)&gt;0,C6-SUM(C34:C34),0)</f>
        <v>539.15057915057912</v>
      </c>
      <c r="G37" s="278" t="s">
        <v>243</v>
      </c>
      <c r="H37" s="279"/>
      <c r="I37" s="270"/>
    </row>
    <row r="38" spans="1:11" x14ac:dyDescent="0.15">
      <c r="A38" s="270" t="s">
        <v>204</v>
      </c>
      <c r="B38" s="313">
        <f>$D$13</f>
        <v>3</v>
      </c>
      <c r="C38" s="313">
        <f>$D$13</f>
        <v>3</v>
      </c>
      <c r="G38" s="278" t="s">
        <v>205</v>
      </c>
      <c r="H38" s="279"/>
      <c r="I38" s="323">
        <f>INDEX('Model parameters'!$E$14:$E$20,'ondernemers_calc (2)'!$D$19)</f>
        <v>144500</v>
      </c>
    </row>
    <row r="39" spans="1:11" x14ac:dyDescent="0.15">
      <c r="A39" s="306" t="s">
        <v>206</v>
      </c>
      <c r="B39" s="324"/>
      <c r="C39" s="270">
        <f>IFERROR(ROUNDUP(C37/C45,0),0)</f>
        <v>16</v>
      </c>
      <c r="G39" s="278" t="s">
        <v>207</v>
      </c>
      <c r="H39" s="279"/>
      <c r="I39" s="323">
        <f>(I38-$I$11)/$I$10</f>
        <v>25900</v>
      </c>
    </row>
    <row r="40" spans="1:11" x14ac:dyDescent="0.15">
      <c r="A40" s="306" t="s">
        <v>187</v>
      </c>
      <c r="B40" s="325"/>
      <c r="C40" s="285">
        <f>C37/C38</f>
        <v>179.71685971685972</v>
      </c>
      <c r="G40" s="278" t="s">
        <v>208</v>
      </c>
      <c r="H40" s="279"/>
      <c r="I40" s="323" t="e">
        <f>(I23-I24-I18)/$I$17</f>
        <v>#N/A</v>
      </c>
    </row>
    <row r="41" spans="1:11" x14ac:dyDescent="0.15">
      <c r="A41" s="306" t="s">
        <v>188</v>
      </c>
      <c r="B41" s="324"/>
      <c r="C41" s="285">
        <f>IF(C40&gt;350,350,INDEX('Model parameters'!$C$49:$C$53,MATCH(C$40,'Model parameters'!$C$49:$C$53,-1)))</f>
        <v>350</v>
      </c>
      <c r="K41" s="326"/>
    </row>
    <row r="42" spans="1:11" x14ac:dyDescent="0.15">
      <c r="A42" s="270" t="s">
        <v>177</v>
      </c>
      <c r="B42" s="324"/>
      <c r="C42" s="270">
        <f>SUMIFS('Model parameters'!$A$36:$A$45,'Model parameters'!$D$36:$D$45,"Publiek",'Model parameters'!$E$36:$E$45,C$41)</f>
        <v>9</v>
      </c>
      <c r="K42" s="326"/>
    </row>
    <row r="43" spans="1:11" x14ac:dyDescent="0.15">
      <c r="A43" s="270" t="s">
        <v>211</v>
      </c>
      <c r="B43" s="327"/>
      <c r="C43" s="315">
        <f>C42</f>
        <v>9</v>
      </c>
    </row>
    <row r="44" spans="1:11" x14ac:dyDescent="0.15">
      <c r="B44" s="310"/>
      <c r="C44" s="310"/>
    </row>
    <row r="45" spans="1:11" x14ac:dyDescent="0.15">
      <c r="A45" s="269" t="s">
        <v>212</v>
      </c>
      <c r="B45" s="289">
        <f>MIN(B$20*70%,B41*B38)</f>
        <v>0</v>
      </c>
      <c r="C45" s="289">
        <f>MIN(C$20*70%,C41*C38)</f>
        <v>35</v>
      </c>
    </row>
    <row r="46" spans="1:11" x14ac:dyDescent="0.15">
      <c r="A46" s="270" t="s">
        <v>198</v>
      </c>
      <c r="B46" s="285">
        <f>MIN(B$37,B$45*B39)</f>
        <v>0</v>
      </c>
      <c r="C46" s="285">
        <f>MIN(C$37,C$41*C38)</f>
        <v>539.15057915057912</v>
      </c>
    </row>
    <row r="47" spans="1:11" x14ac:dyDescent="0.15">
      <c r="A47" s="270" t="s">
        <v>213</v>
      </c>
      <c r="B47" s="285">
        <v>0</v>
      </c>
      <c r="C47" s="285">
        <f>C46/C41</f>
        <v>1.5404302261445117</v>
      </c>
    </row>
    <row r="48" spans="1:11" x14ac:dyDescent="0.15">
      <c r="A48" s="270" t="s">
        <v>245</v>
      </c>
      <c r="B48" s="289" t="str">
        <f>IF(B46&lt;B37,"No, please increase the power","Yes")</f>
        <v>No, please increase the power</v>
      </c>
      <c r="C48" s="289" t="str">
        <f>IF(C46&lt;C37,"No, please increase the power","Yes")</f>
        <v>Yes</v>
      </c>
    </row>
    <row r="49" spans="1:4" x14ac:dyDescent="0.15">
      <c r="B49" s="393"/>
      <c r="C49" s="393"/>
    </row>
    <row r="50" spans="1:4" x14ac:dyDescent="0.15">
      <c r="B50" s="328"/>
      <c r="C50" s="328"/>
    </row>
    <row r="51" spans="1:4" x14ac:dyDescent="0.15">
      <c r="A51" s="269" t="s">
        <v>216</v>
      </c>
      <c r="B51" s="329"/>
      <c r="C51" s="329"/>
    </row>
    <row r="52" spans="1:4" x14ac:dyDescent="0.15">
      <c r="A52" s="270" t="s">
        <v>217</v>
      </c>
      <c r="B52" s="329">
        <f>INDEX('Model parameters'!$K$14:$K$20,'ondernemers_calc (2)'!B$19)*B$4*B$5</f>
        <v>3596.149806949807</v>
      </c>
      <c r="C52" s="329">
        <f>INDEX('Model parameters'!$K$14:$K$20,'ondernemers_calc (2)'!C$19)*C$4*C$5</f>
        <v>3596.149806949807</v>
      </c>
    </row>
    <row r="53" spans="1:4" x14ac:dyDescent="0.15">
      <c r="A53" s="270" t="s">
        <v>218</v>
      </c>
      <c r="B53" s="329">
        <f>IFERROR(B$34*B$5*$I$7,0)</f>
        <v>1326</v>
      </c>
      <c r="C53" s="329">
        <f>IFERROR(C$34*C$5*I7,0)</f>
        <v>1326</v>
      </c>
    </row>
    <row r="54" spans="1:4" x14ac:dyDescent="0.15">
      <c r="A54" s="270" t="s">
        <v>219</v>
      </c>
      <c r="B54" s="329"/>
      <c r="C54" s="329">
        <f>IFERROR(IF(C48="Yes",C$46*INDEX('Model parameters'!$M$36:$M$45,C$42)*C$5,"Inadequate external charging"),0)</f>
        <v>81115.20463320463</v>
      </c>
    </row>
    <row r="56" spans="1:4" x14ac:dyDescent="0.15">
      <c r="A56" s="330" t="str">
        <f>'TCO module ondernemers'!A34</f>
        <v>Scenario</v>
      </c>
      <c r="B56" s="331" t="str">
        <f>'TCO module ondernemers'!C34</f>
        <v>Uitsluitend thuis opladen</v>
      </c>
      <c r="C56" s="332" t="str">
        <f>'TCO module ondernemers'!D34</f>
        <v xml:space="preserve">Optimale mix </v>
      </c>
      <c r="D56" s="333" t="str">
        <f>'TCO module ondernemers'!E34</f>
        <v>Diesel</v>
      </c>
    </row>
    <row r="57" spans="1:4" ht="21" x14ac:dyDescent="0.15">
      <c r="A57" s="334" t="str">
        <f>'TCO module ondernemers'!A35</f>
        <v>Scenario technisch mogelijk/niet mogelijk</v>
      </c>
      <c r="B57" s="335" t="str">
        <f>'TCO module ondernemers'!C35</f>
        <v>Vehicle technology insufficient</v>
      </c>
      <c r="C57" s="335" t="str">
        <f>'TCO module ondernemers'!D35</f>
        <v>Scenario valid</v>
      </c>
      <c r="D57" s="336" t="str">
        <f>'TCO module ondernemers'!E35</f>
        <v>Scenario valid</v>
      </c>
    </row>
    <row r="58" spans="1:4" x14ac:dyDescent="0.15">
      <c r="B58" s="277"/>
      <c r="C58" s="277"/>
      <c r="D58" s="277"/>
    </row>
    <row r="59" spans="1:4" x14ac:dyDescent="0.15">
      <c r="A59" s="330" t="str">
        <f>'TCO module ondernemers'!A37</f>
        <v>Voertuigtype</v>
      </c>
      <c r="B59" s="331" t="str">
        <f>'TCO module ondernemers'!C37</f>
        <v>Trekker-oplegger</v>
      </c>
      <c r="C59" s="331" t="str">
        <f>'TCO module ondernemers'!D37</f>
        <v>Trekker-oplegger</v>
      </c>
      <c r="D59" s="333" t="str">
        <f>'TCO module ondernemers'!E37</f>
        <v>Trekker-oplegger</v>
      </c>
    </row>
    <row r="60" spans="1:4" x14ac:dyDescent="0.15">
      <c r="A60" s="337" t="str">
        <f>'TCO module ondernemers'!A38</f>
        <v>Eigen oplaadsysteem</v>
      </c>
      <c r="B60" s="338" t="str">
        <f>'TCO module ondernemers'!C38</f>
        <v>AC20</v>
      </c>
      <c r="C60" s="338" t="str">
        <f>'TCO module ondernemers'!D38</f>
        <v>AC20</v>
      </c>
      <c r="D60" s="339" t="str">
        <f>'TCO module ondernemers'!E38</f>
        <v>nvt</v>
      </c>
    </row>
    <row r="61" spans="1:4" x14ac:dyDescent="0.15">
      <c r="A61" s="334" t="str">
        <f>'TCO module ondernemers'!A39</f>
        <v>Openbaar oplaadsysteem</v>
      </c>
      <c r="B61" s="335" t="str">
        <f>'TCO module ondernemers'!C39</f>
        <v>None</v>
      </c>
      <c r="C61" s="335" t="str">
        <f>'TCO module ondernemers'!D39</f>
        <v>HPC150</v>
      </c>
      <c r="D61" s="336" t="str">
        <f>'TCO module ondernemers'!E39</f>
        <v>nvt</v>
      </c>
    </row>
    <row r="62" spans="1:4" x14ac:dyDescent="0.15">
      <c r="B62" s="277"/>
      <c r="C62" s="277"/>
      <c r="D62" s="277"/>
    </row>
    <row r="63" spans="1:4" x14ac:dyDescent="0.15">
      <c r="A63" s="340" t="s">
        <v>220</v>
      </c>
      <c r="B63" s="341"/>
      <c r="C63" s="341"/>
      <c r="D63" s="342">
        <f>SUM('TCO module ondernemers'!$E$65,'TCO module ondernemers'!$E$66)/'TCO module beleidsmakers'!$E$23</f>
        <v>38159.999999999993</v>
      </c>
    </row>
    <row r="64" spans="1:4" x14ac:dyDescent="0.15">
      <c r="A64" s="343" t="s">
        <v>221</v>
      </c>
      <c r="B64" s="344"/>
      <c r="C64" s="345"/>
      <c r="D64" s="346">
        <f>INDEX('Model parameters'!$B$77:$E$83,'ondernemers_calc (2)'!$D$19,1)/1000*D63</f>
        <v>123606.49438612502</v>
      </c>
    </row>
    <row r="65" spans="1:4" x14ac:dyDescent="0.15">
      <c r="A65" s="343" t="s">
        <v>222</v>
      </c>
      <c r="B65" s="344"/>
      <c r="C65" s="345"/>
      <c r="D65" s="346">
        <f>INDEX('Model parameters'!$B$77:$E$83,'ondernemers_calc (2)'!$D$19,2)*$D$63</f>
        <v>1754.2176346438166</v>
      </c>
    </row>
    <row r="66" spans="1:4" x14ac:dyDescent="0.15">
      <c r="A66" s="347" t="s">
        <v>223</v>
      </c>
      <c r="B66" s="348"/>
      <c r="C66" s="349"/>
      <c r="D66" s="350">
        <f>INDEX('Model parameters'!$B$77:$E$83,'ondernemers_calc (2)'!$D$19,3)*$D$63</f>
        <v>302782.57699768443</v>
      </c>
    </row>
    <row r="67" spans="1:4" x14ac:dyDescent="0.15">
      <c r="B67" s="277"/>
      <c r="C67" s="291"/>
      <c r="D67" s="291"/>
    </row>
    <row r="68" spans="1:4" x14ac:dyDescent="0.15">
      <c r="A68" s="351" t="s">
        <v>224</v>
      </c>
      <c r="B68" s="352" t="e">
        <f>IF(B$57="Scenario valid",(IFERROR('ondernemers_calc (2)'!B$34/INDEX('Model parameters'!$G$36:$G$45,'ondernemers_calc (2)'!B$30),0)+IFERROR('ondernemers_calc (2)'!B$46/INDEX('Model parameters'!$G$36:$G$45,'ondernemers_calc (2)'!B$43),0))*'ondernemers_calc (2)'!$B$5/'Model parameters'!$B$94,NA())</f>
        <v>#N/A</v>
      </c>
      <c r="C68" s="352">
        <f>IF(C$57="Scenario valid",(IFERROR('ondernemers_calc (2)'!C$34/INDEX('Model parameters'!$G$36:$G$45,'ondernemers_calc (2)'!C$30),0)+IFERROR('ondernemers_calc (2)'!C$46/INDEX('Model parameters'!$G$36:$G$45,'ondernemers_calc (2)'!C$43),0))*'ondernemers_calc (2)'!$C$5/'Model parameters'!$B$94,NA())</f>
        <v>174142.82465576738</v>
      </c>
      <c r="D68" s="353"/>
    </row>
    <row r="69" spans="1:4" x14ac:dyDescent="0.15">
      <c r="A69" s="255" t="s">
        <v>225</v>
      </c>
      <c r="B69" s="354" t="e">
        <f>IF(B$57="Scenario valid",'Model parameters'!$B$87*B$68,NA())</f>
        <v>#N/A</v>
      </c>
      <c r="C69" s="354">
        <f>IF(C$57="Scenario valid",'Model parameters'!$B$87*C$68,NA())</f>
        <v>64317.458060772304</v>
      </c>
      <c r="D69" s="355"/>
    </row>
    <row r="70" spans="1:4" x14ac:dyDescent="0.15">
      <c r="A70" s="255" t="s">
        <v>226</v>
      </c>
      <c r="B70" s="354" t="e">
        <f>IF(B$57="Scenario valid",'Model parameters'!$B$88*B$68,NA())</f>
        <v>#N/A</v>
      </c>
      <c r="C70" s="354">
        <f>IF(C$57="Scenario valid",'Model parameters'!$B$88*C$68,NA())</f>
        <v>0</v>
      </c>
      <c r="D70" s="355"/>
    </row>
    <row r="71" spans="1:4" x14ac:dyDescent="0.15">
      <c r="A71" s="356" t="s">
        <v>227</v>
      </c>
      <c r="B71" s="357" t="e">
        <f>IF(B$57="Scenario valid",'Model parameters'!$B$89*B$68,NA())</f>
        <v>#N/A</v>
      </c>
      <c r="C71" s="357">
        <f>IF(C$57="Scenario valid",'Model parameters'!$B$89*C$68,NA())</f>
        <v>79571.250485557379</v>
      </c>
      <c r="D71" s="358"/>
    </row>
    <row r="72" spans="1:4" x14ac:dyDescent="0.15">
      <c r="B72" s="277"/>
      <c r="C72" s="277"/>
      <c r="D72" s="277"/>
    </row>
    <row r="73" spans="1:4" x14ac:dyDescent="0.15">
      <c r="A73" s="359" t="s">
        <v>228</v>
      </c>
      <c r="B73" s="360">
        <f>$I$31</f>
        <v>118146.71814671815</v>
      </c>
      <c r="C73" s="360">
        <f>$I$31</f>
        <v>118146.71814671815</v>
      </c>
      <c r="D73" s="361">
        <f>$I$30</f>
        <v>120000</v>
      </c>
    </row>
    <row r="74" spans="1:4" x14ac:dyDescent="0.15">
      <c r="A74" s="362" t="s">
        <v>229</v>
      </c>
      <c r="B74" s="363" t="e">
        <f>IF(B$57="Scenario valid",INDEX('Model parameters'!$E$77:$E$83,'ondernemers_calc (2)'!$D$19)*$B$73,NA())</f>
        <v>#N/A</v>
      </c>
      <c r="C74" s="363">
        <f>IF(C$57="Scenario valid",INDEX('Model parameters'!$E$77:$E$83,'ondernemers_calc (2)'!$D$19)*$C$73,NA())</f>
        <v>8061.5383346257686</v>
      </c>
      <c r="D74" s="364">
        <f>IF(D$57="Scenario valid",INDEX('Model parameters'!$E$77:$E$83,'ondernemers_calc (2)'!$D$19)*$D$73,NA())</f>
        <v>8187.9938379140158</v>
      </c>
    </row>
    <row r="75" spans="1:4" x14ac:dyDescent="0.15">
      <c r="B75" s="277"/>
      <c r="C75" s="277"/>
      <c r="D75" s="277"/>
    </row>
    <row r="76" spans="1:4" x14ac:dyDescent="0.15">
      <c r="A76" t="s">
        <v>230</v>
      </c>
      <c r="B76" s="277"/>
      <c r="C76" s="277"/>
      <c r="D76" s="277"/>
    </row>
    <row r="77" spans="1:4" x14ac:dyDescent="0.15">
      <c r="A77" s="365" t="s">
        <v>231</v>
      </c>
      <c r="B77" s="366"/>
      <c r="C77" s="366"/>
      <c r="D77" s="367"/>
    </row>
    <row r="78" spans="1:4" x14ac:dyDescent="0.15">
      <c r="A78" s="368" t="s">
        <v>232</v>
      </c>
      <c r="B78" s="369" t="e">
        <f>B69/1000</f>
        <v>#N/A</v>
      </c>
      <c r="C78" s="369">
        <f>C69/1000</f>
        <v>64.31745806077231</v>
      </c>
      <c r="D78" s="370">
        <f>D64/1000</f>
        <v>123.60649438612502</v>
      </c>
    </row>
    <row r="79" spans="1:4" x14ac:dyDescent="0.15">
      <c r="A79" s="368" t="s">
        <v>233</v>
      </c>
      <c r="B79" s="369" t="e">
        <f>(B70+B74)/10^3</f>
        <v>#N/A</v>
      </c>
      <c r="C79" s="369">
        <f>(C70+C74)/10^3</f>
        <v>8.0615383346257694</v>
      </c>
      <c r="D79" s="370">
        <f>(D65+D74)/10^3</f>
        <v>9.9422114725578314</v>
      </c>
    </row>
    <row r="80" spans="1:4" x14ac:dyDescent="0.15">
      <c r="A80" s="371" t="s">
        <v>234</v>
      </c>
      <c r="B80" s="372" t="e">
        <f>B71/10^3</f>
        <v>#N/A</v>
      </c>
      <c r="C80" s="372">
        <f>C71/10^3</f>
        <v>79.571250485557385</v>
      </c>
      <c r="D80" s="373">
        <f>D66/10^3</f>
        <v>302.78257699768443</v>
      </c>
    </row>
    <row r="81" spans="1:4" x14ac:dyDescent="0.15">
      <c r="B81" s="374"/>
      <c r="C81" s="374"/>
      <c r="D81" s="374"/>
    </row>
    <row r="82" spans="1:4" x14ac:dyDescent="0.15">
      <c r="A82" s="375" t="s">
        <v>235</v>
      </c>
      <c r="B82" s="376"/>
      <c r="C82" s="376"/>
      <c r="D82" s="377"/>
    </row>
    <row r="83" spans="1:4" x14ac:dyDescent="0.15">
      <c r="A83" s="378" t="s">
        <v>232</v>
      </c>
      <c r="B83" s="379">
        <f>0</f>
        <v>0</v>
      </c>
      <c r="C83" s="379">
        <f>0</f>
        <v>0</v>
      </c>
      <c r="D83" s="380">
        <f>D78</f>
        <v>123.60649438612502</v>
      </c>
    </row>
    <row r="84" spans="1:4" x14ac:dyDescent="0.15">
      <c r="A84" s="378" t="s">
        <v>233</v>
      </c>
      <c r="B84" s="379" t="e">
        <f>(B74)/10^3</f>
        <v>#N/A</v>
      </c>
      <c r="C84" s="379">
        <f>(C74)/10^3</f>
        <v>8.0615383346257694</v>
      </c>
      <c r="D84" s="379">
        <f>(D65+D74)/10^3</f>
        <v>9.9422114725578314</v>
      </c>
    </row>
    <row r="85" spans="1:4" x14ac:dyDescent="0.15">
      <c r="A85" s="381" t="s">
        <v>234</v>
      </c>
      <c r="B85" s="382">
        <v>0</v>
      </c>
      <c r="C85" s="382">
        <v>0</v>
      </c>
      <c r="D85" s="383">
        <f>D80</f>
        <v>302.78257699768443</v>
      </c>
    </row>
  </sheetData>
  <conditionalFormatting sqref="B34:B35">
    <cfRule type="cellIs" dxfId="4" priority="2" operator="greaterThan">
      <formula>0</formula>
    </cfRule>
  </conditionalFormatting>
  <conditionalFormatting sqref="B49">
    <cfRule type="cellIs" dxfId="3" priority="3" operator="greaterThan">
      <formula>0</formula>
    </cfRule>
  </conditionalFormatting>
  <conditionalFormatting sqref="B44">
    <cfRule type="colorScale" priority="4">
      <colorScale>
        <cfvo type="min"/>
        <cfvo type="percentile" val="50"/>
        <cfvo type="max"/>
        <color rgb="FFF8696B"/>
        <color rgb="FFFFEB84"/>
        <color rgb="FF63BE7B"/>
      </colorScale>
    </cfRule>
  </conditionalFormatting>
  <conditionalFormatting sqref="C34:C35 C46">
    <cfRule type="cellIs" dxfId="2" priority="5" operator="greaterThan">
      <formula>0</formula>
    </cfRule>
  </conditionalFormatting>
  <conditionalFormatting sqref="C49">
    <cfRule type="cellIs" dxfId="1" priority="6" operator="greaterThan">
      <formula>0</formula>
    </cfRule>
  </conditionalFormatting>
  <conditionalFormatting sqref="C44">
    <cfRule type="colorScale" priority="7">
      <colorScale>
        <cfvo type="min"/>
        <cfvo type="percentile" val="50"/>
        <cfvo type="max"/>
        <color rgb="FFF8696B"/>
        <color rgb="FFFFEB84"/>
        <color rgb="FF63BE7B"/>
      </colorScale>
    </cfRule>
  </conditionalFormatting>
  <conditionalFormatting sqref="E20:E22">
    <cfRule type="colorScale" priority="8">
      <colorScale>
        <cfvo type="min"/>
        <cfvo type="percentile" val="50"/>
        <cfvo type="max"/>
        <color rgb="FFF8696B"/>
        <color rgb="FFFFEB84"/>
        <color rgb="FF63BE7B"/>
      </colorScale>
    </cfRule>
  </conditionalFormatting>
  <conditionalFormatting sqref="B57:D57">
    <cfRule type="containsText" dxfId="0" priority="9" operator="containsText" text="Vehicle technology insufficient">
      <formula>NOT(ISERROR(SEARCH("Vehicle technology insufficient",B57)))</formula>
    </cfRule>
  </conditionalFormatting>
  <pageMargins left="0.7" right="0.7" top="0.75" bottom="0.75" header="0.51180555555555496" footer="0.51180555555555496"/>
  <pageSetup paperSize="9" firstPageNumber="0" orientation="portrait" horizontalDpi="300" verticalDpi="300"/>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0000000}">
          <x14:formula1>
            <xm:f>'Model parameters'!$A$14:$A$20</xm:f>
          </x14:formula1>
          <x14:formula2>
            <xm:f>0</xm:f>
          </x14:formula2>
          <xm:sqref>B3:D3</xm:sqref>
        </x14:dataValidation>
        <x14:dataValidation type="list" allowBlank="1" showDropDown="1" showInputMessage="1" showErrorMessage="1" xr:uid="{00000000-0002-0000-0600-000001000000}">
          <x14:formula1>
            <xm:f>'Model parameters'!#REF!</xm:f>
          </x14:formula1>
          <x14:formula2>
            <xm:f>0</xm:f>
          </x14:formula2>
          <xm:sqref>B30:D30 B43:C43</xm:sqref>
        </x14:dataValidation>
        <x14:dataValidation type="list" allowBlank="1" showInputMessage="1" showErrorMessage="1" xr:uid="{00000000-0002-0000-0600-000003000000}">
          <x14:formula1>
            <xm:f>'Model parameters'!#REF!</xm:f>
          </x14:formula1>
          <x14:formula2>
            <xm:f>0</xm:f>
          </x14:formula2>
          <xm:sqref>D2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Y89"/>
  <sheetViews>
    <sheetView zoomScaleNormal="100" workbookViewId="0">
      <selection activeCell="F11" sqref="F11"/>
    </sheetView>
  </sheetViews>
  <sheetFormatPr defaultColWidth="8.7109375" defaultRowHeight="10.5" x14ac:dyDescent="0.15"/>
  <cols>
    <col min="1" max="1" width="30.5703125" customWidth="1"/>
    <col min="2" max="2" width="22" customWidth="1"/>
    <col min="3" max="3" width="12.85546875" customWidth="1"/>
    <col min="4" max="4" width="10.5703125" customWidth="1"/>
    <col min="5" max="18" width="12.42578125" customWidth="1"/>
    <col min="20" max="21" width="9.5703125" customWidth="1"/>
    <col min="28" max="28" width="10.85546875" customWidth="1"/>
  </cols>
  <sheetData>
    <row r="1" spans="1:18" x14ac:dyDescent="0.15">
      <c r="A1" s="192" t="s">
        <v>253</v>
      </c>
    </row>
    <row r="2" spans="1:18" s="277" customFormat="1" ht="21" x14ac:dyDescent="0.15">
      <c r="A2" s="394" t="s">
        <v>254</v>
      </c>
      <c r="B2" s="395" t="s">
        <v>255</v>
      </c>
      <c r="C2" s="395" t="s">
        <v>256</v>
      </c>
      <c r="D2" s="395" t="s">
        <v>257</v>
      </c>
      <c r="E2" s="549" t="s">
        <v>258</v>
      </c>
      <c r="G2" s="397"/>
    </row>
    <row r="3" spans="1:18" x14ac:dyDescent="0.15">
      <c r="A3" s="400" t="s">
        <v>339</v>
      </c>
      <c r="B3" s="401">
        <v>5</v>
      </c>
      <c r="C3" s="401">
        <v>3</v>
      </c>
      <c r="D3" s="401">
        <v>80</v>
      </c>
      <c r="E3" s="550">
        <v>157000</v>
      </c>
      <c r="G3" s="404"/>
      <c r="H3" s="407"/>
    </row>
    <row r="4" spans="1:18" x14ac:dyDescent="0.15">
      <c r="A4" s="400" t="s">
        <v>340</v>
      </c>
      <c r="B4" s="401">
        <v>5</v>
      </c>
      <c r="C4" s="401">
        <v>2</v>
      </c>
      <c r="D4" s="401">
        <v>120</v>
      </c>
      <c r="E4" s="550">
        <v>173000</v>
      </c>
      <c r="G4" s="404"/>
    </row>
    <row r="5" spans="1:18" x14ac:dyDescent="0.15">
      <c r="A5" s="400" t="s">
        <v>341</v>
      </c>
      <c r="B5" s="401">
        <v>5</v>
      </c>
      <c r="C5" s="401">
        <v>1</v>
      </c>
      <c r="D5" s="401">
        <v>160</v>
      </c>
      <c r="E5" s="550">
        <v>189000</v>
      </c>
      <c r="G5" s="404"/>
    </row>
    <row r="6" spans="1:18" x14ac:dyDescent="0.15">
      <c r="A6" s="400" t="s">
        <v>342</v>
      </c>
      <c r="B6" s="401">
        <v>6</v>
      </c>
      <c r="C6" s="401">
        <v>3</v>
      </c>
      <c r="D6" s="401">
        <v>160</v>
      </c>
      <c r="E6" s="550">
        <v>267500</v>
      </c>
      <c r="G6" s="404"/>
    </row>
    <row r="7" spans="1:18" x14ac:dyDescent="0.15">
      <c r="A7" s="400" t="s">
        <v>343</v>
      </c>
      <c r="B7" s="401">
        <v>6</v>
      </c>
      <c r="C7" s="401">
        <v>2</v>
      </c>
      <c r="D7" s="401">
        <v>200</v>
      </c>
      <c r="E7" s="550">
        <v>275500</v>
      </c>
      <c r="G7" s="404"/>
    </row>
    <row r="8" spans="1:18" x14ac:dyDescent="0.15">
      <c r="A8" s="400" t="s">
        <v>344</v>
      </c>
      <c r="B8" s="401">
        <v>6</v>
      </c>
      <c r="C8" s="401">
        <v>1</v>
      </c>
      <c r="D8" s="401">
        <v>240</v>
      </c>
      <c r="E8" s="550">
        <v>291500</v>
      </c>
      <c r="G8" s="404"/>
    </row>
    <row r="9" spans="1:18" x14ac:dyDescent="0.15">
      <c r="A9" s="400" t="s">
        <v>345</v>
      </c>
      <c r="B9" s="401">
        <v>7</v>
      </c>
      <c r="C9" s="401">
        <v>3</v>
      </c>
      <c r="D9" s="401">
        <v>200</v>
      </c>
      <c r="E9" s="550">
        <v>290416</v>
      </c>
      <c r="G9" s="404"/>
    </row>
    <row r="10" spans="1:18" x14ac:dyDescent="0.15">
      <c r="A10" s="400" t="s">
        <v>346</v>
      </c>
      <c r="B10" s="401">
        <v>7</v>
      </c>
      <c r="C10" s="401">
        <v>2</v>
      </c>
      <c r="D10" s="401">
        <v>320</v>
      </c>
      <c r="E10" s="550">
        <v>330416</v>
      </c>
      <c r="G10" s="404"/>
    </row>
    <row r="11" spans="1:18" x14ac:dyDescent="0.15">
      <c r="A11" s="443" t="s">
        <v>347</v>
      </c>
      <c r="B11" s="444">
        <v>7</v>
      </c>
      <c r="C11" s="444">
        <v>1</v>
      </c>
      <c r="D11" s="444">
        <v>440</v>
      </c>
      <c r="E11" s="551">
        <v>370416</v>
      </c>
      <c r="G11" s="404"/>
    </row>
    <row r="12" spans="1:18" ht="12.75" x14ac:dyDescent="0.2">
      <c r="A12" s="398"/>
      <c r="B12" s="398"/>
      <c r="C12" s="412"/>
      <c r="D12" s="413"/>
      <c r="E12" s="414"/>
      <c r="F12" s="415"/>
      <c r="I12" s="416"/>
      <c r="J12" s="416"/>
    </row>
    <row r="13" spans="1:18" s="426" customFormat="1" ht="42" x14ac:dyDescent="0.15">
      <c r="A13" s="417" t="s">
        <v>255</v>
      </c>
      <c r="B13" s="418" t="s">
        <v>265</v>
      </c>
      <c r="C13" s="419" t="s">
        <v>266</v>
      </c>
      <c r="D13" s="419" t="s">
        <v>267</v>
      </c>
      <c r="E13" s="419" t="s">
        <v>268</v>
      </c>
      <c r="F13" s="420" t="s">
        <v>269</v>
      </c>
      <c r="G13" s="419" t="s">
        <v>270</v>
      </c>
      <c r="H13" s="421" t="s">
        <v>271</v>
      </c>
      <c r="I13" s="422" t="s">
        <v>272</v>
      </c>
      <c r="J13" s="422" t="s">
        <v>273</v>
      </c>
      <c r="K13" s="423" t="s">
        <v>274</v>
      </c>
      <c r="L13" s="419" t="s">
        <v>275</v>
      </c>
      <c r="M13" s="419" t="s">
        <v>276</v>
      </c>
      <c r="N13" s="423" t="s">
        <v>277</v>
      </c>
      <c r="O13" s="419" t="s">
        <v>278</v>
      </c>
      <c r="P13" s="419" t="s">
        <v>279</v>
      </c>
      <c r="Q13" s="419" t="s">
        <v>280</v>
      </c>
      <c r="R13" s="552" t="s">
        <v>281</v>
      </c>
    </row>
    <row r="14" spans="1:18" hidden="1" x14ac:dyDescent="0.15">
      <c r="A14" s="400"/>
      <c r="B14" s="401"/>
      <c r="C14" s="553"/>
      <c r="D14" s="554"/>
      <c r="E14" s="404"/>
      <c r="F14" s="404"/>
      <c r="G14" s="455"/>
      <c r="H14" s="439"/>
      <c r="I14" s="432"/>
      <c r="J14" s="432"/>
      <c r="K14" s="440"/>
      <c r="L14" s="555"/>
      <c r="M14" s="555"/>
      <c r="N14" s="442"/>
      <c r="O14" s="556"/>
      <c r="P14" s="556"/>
      <c r="Q14" s="556"/>
      <c r="R14" s="557"/>
    </row>
    <row r="15" spans="1:18" hidden="1" x14ac:dyDescent="0.15">
      <c r="A15" s="400"/>
      <c r="B15" s="401"/>
      <c r="C15" s="553"/>
      <c r="D15" s="554"/>
      <c r="E15" s="404"/>
      <c r="F15" s="404"/>
      <c r="G15" s="455"/>
      <c r="H15" s="439"/>
      <c r="I15" s="432"/>
      <c r="J15" s="432"/>
      <c r="K15" s="440"/>
      <c r="L15" s="555"/>
      <c r="M15" s="555"/>
      <c r="N15" s="442"/>
      <c r="O15" s="556"/>
      <c r="P15" s="556"/>
      <c r="Q15" s="556"/>
      <c r="R15" s="557"/>
    </row>
    <row r="16" spans="1:18" hidden="1" x14ac:dyDescent="0.15">
      <c r="A16" s="400"/>
      <c r="B16" s="401"/>
      <c r="C16" s="553"/>
      <c r="D16" s="554"/>
      <c r="E16" s="404"/>
      <c r="F16" s="404"/>
      <c r="G16" s="455"/>
      <c r="H16" s="439"/>
      <c r="I16" s="432"/>
      <c r="J16" s="432"/>
      <c r="K16" s="440"/>
      <c r="L16" s="555"/>
      <c r="M16" s="555"/>
      <c r="N16" s="442"/>
      <c r="O16" s="556"/>
      <c r="P16" s="556"/>
      <c r="Q16" s="556"/>
      <c r="R16" s="557"/>
    </row>
    <row r="17" spans="1:25" hidden="1" x14ac:dyDescent="0.15">
      <c r="A17" s="400"/>
      <c r="B17" s="401"/>
      <c r="C17" s="553"/>
      <c r="D17" s="554"/>
      <c r="E17" s="404"/>
      <c r="F17" s="404"/>
      <c r="G17" s="455"/>
      <c r="H17" s="439"/>
      <c r="I17" s="432"/>
      <c r="J17" s="432"/>
      <c r="K17" s="440"/>
      <c r="L17" s="441"/>
      <c r="M17" s="441"/>
      <c r="N17" s="442"/>
      <c r="O17" s="404"/>
      <c r="P17" s="404"/>
      <c r="Q17" s="404"/>
      <c r="R17" s="550"/>
    </row>
    <row r="18" spans="1:25" x14ac:dyDescent="0.15">
      <c r="A18" s="400" t="s">
        <v>263</v>
      </c>
      <c r="B18" s="401">
        <v>5</v>
      </c>
      <c r="C18" s="553">
        <v>0.55436507936507895</v>
      </c>
      <c r="D18" s="554">
        <v>49.0625</v>
      </c>
      <c r="E18" s="404">
        <v>62500</v>
      </c>
      <c r="F18" s="404">
        <v>6865.1645862576997</v>
      </c>
      <c r="G18" s="455">
        <v>0.270072026611206</v>
      </c>
      <c r="H18" s="439">
        <v>2.4093078055964701</v>
      </c>
      <c r="I18" s="432">
        <v>0.102394393270773</v>
      </c>
      <c r="J18" s="432">
        <v>0.66244477172312199</v>
      </c>
      <c r="K18" s="440">
        <v>2.2616000000000001E-2</v>
      </c>
      <c r="L18" s="441">
        <v>5.1400000000000001E-2</v>
      </c>
      <c r="M18" s="441">
        <v>1.95E-2</v>
      </c>
      <c r="N18" s="442">
        <v>0.323962297496318</v>
      </c>
      <c r="O18" s="404">
        <v>312</v>
      </c>
      <c r="P18" s="404">
        <v>750</v>
      </c>
      <c r="Q18" s="404">
        <v>69</v>
      </c>
      <c r="R18" s="550">
        <v>375</v>
      </c>
    </row>
    <row r="19" spans="1:25" x14ac:dyDescent="0.15">
      <c r="A19" s="400" t="s">
        <v>264</v>
      </c>
      <c r="B19" s="401">
        <v>6</v>
      </c>
      <c r="C19" s="553">
        <v>0.45318681318681298</v>
      </c>
      <c r="D19" s="554">
        <v>43.233333333333299</v>
      </c>
      <c r="E19" s="404">
        <v>115000</v>
      </c>
      <c r="F19" s="404">
        <v>12631.902838714201</v>
      </c>
      <c r="G19" s="455">
        <v>0.53124303493261704</v>
      </c>
      <c r="H19" s="439">
        <v>3.18627393225331</v>
      </c>
      <c r="I19" s="432">
        <v>0.20864864011921599</v>
      </c>
      <c r="J19" s="432">
        <v>0.87607341112495696</v>
      </c>
      <c r="K19" s="440">
        <v>2.3533999999999999E-2</v>
      </c>
      <c r="L19" s="441">
        <v>5.74E-2</v>
      </c>
      <c r="M19" s="441">
        <v>1.89E-2</v>
      </c>
      <c r="N19" s="442">
        <v>0.42843534609720202</v>
      </c>
      <c r="O19" s="404">
        <v>312</v>
      </c>
      <c r="P19" s="404">
        <v>750</v>
      </c>
      <c r="Q19" s="404">
        <v>69</v>
      </c>
      <c r="R19" s="550">
        <v>375</v>
      </c>
    </row>
    <row r="20" spans="1:25" x14ac:dyDescent="0.15">
      <c r="A20" s="443" t="s">
        <v>7</v>
      </c>
      <c r="B20" s="444">
        <v>7</v>
      </c>
      <c r="C20" s="558">
        <v>0.34821428571428598</v>
      </c>
      <c r="D20" s="559">
        <v>40.8333333333333</v>
      </c>
      <c r="E20" s="448">
        <v>144500</v>
      </c>
      <c r="F20" s="448">
        <v>15872.2605234278</v>
      </c>
      <c r="G20" s="458">
        <v>0.79565484501915995</v>
      </c>
      <c r="H20" s="450">
        <v>4.84</v>
      </c>
      <c r="I20" s="433">
        <v>0.31751723622859901</v>
      </c>
      <c r="J20" s="433">
        <v>1.33076923076923</v>
      </c>
      <c r="K20" s="451">
        <v>3.0438E-2</v>
      </c>
      <c r="L20" s="452">
        <v>8.0100000000000005E-2</v>
      </c>
      <c r="M20" s="452">
        <v>3.9199999999999999E-2</v>
      </c>
      <c r="N20" s="453">
        <v>0.65080000000000005</v>
      </c>
      <c r="O20" s="448">
        <v>840</v>
      </c>
      <c r="P20" s="448">
        <v>1250</v>
      </c>
      <c r="Q20" s="448">
        <v>69</v>
      </c>
      <c r="R20" s="551">
        <v>935</v>
      </c>
    </row>
    <row r="21" spans="1:25" ht="12.75" x14ac:dyDescent="0.2">
      <c r="A21" s="398"/>
      <c r="B21" s="398"/>
      <c r="C21" s="412"/>
      <c r="D21" s="413"/>
      <c r="E21" s="414"/>
      <c r="F21" s="415"/>
    </row>
    <row r="22" spans="1:25" x14ac:dyDescent="0.15">
      <c r="Y22" s="326"/>
    </row>
    <row r="23" spans="1:25" x14ac:dyDescent="0.15">
      <c r="A23" s="456" t="s">
        <v>282</v>
      </c>
    </row>
    <row r="24" spans="1:25" x14ac:dyDescent="0.15">
      <c r="A24" s="460" t="s">
        <v>255</v>
      </c>
      <c r="B24" s="461">
        <v>5</v>
      </c>
      <c r="C24" s="461">
        <v>6</v>
      </c>
      <c r="D24" s="463">
        <v>7</v>
      </c>
      <c r="E24" s="464" t="s">
        <v>283</v>
      </c>
    </row>
    <row r="25" spans="1:25" x14ac:dyDescent="0.15">
      <c r="A25" s="465" t="s">
        <v>284</v>
      </c>
      <c r="B25" s="466">
        <f t="shared" ref="B25:D27" si="0">SUMIFS($D$3:$D$11,$B$3:$B$11,B$24,$C$3:$C$11,$E25)</f>
        <v>160</v>
      </c>
      <c r="C25" s="466">
        <f t="shared" si="0"/>
        <v>240</v>
      </c>
      <c r="D25" s="560">
        <f t="shared" si="0"/>
        <v>440</v>
      </c>
      <c r="E25" s="467">
        <v>1</v>
      </c>
    </row>
    <row r="26" spans="1:25" x14ac:dyDescent="0.15">
      <c r="A26" s="468" t="s">
        <v>285</v>
      </c>
      <c r="B26" s="401">
        <f t="shared" si="0"/>
        <v>120</v>
      </c>
      <c r="C26" s="401">
        <f t="shared" si="0"/>
        <v>200</v>
      </c>
      <c r="D26" s="469">
        <f t="shared" si="0"/>
        <v>320</v>
      </c>
      <c r="E26" s="467">
        <v>2</v>
      </c>
    </row>
    <row r="27" spans="1:25" x14ac:dyDescent="0.15">
      <c r="A27" s="470" t="s">
        <v>286</v>
      </c>
      <c r="B27" s="444">
        <f t="shared" si="0"/>
        <v>80</v>
      </c>
      <c r="C27" s="444">
        <f t="shared" si="0"/>
        <v>160</v>
      </c>
      <c r="D27" s="471">
        <f t="shared" si="0"/>
        <v>200</v>
      </c>
      <c r="E27" s="472">
        <v>3</v>
      </c>
    </row>
    <row r="28" spans="1:25" x14ac:dyDescent="0.15">
      <c r="A28" s="470" t="s">
        <v>287</v>
      </c>
      <c r="B28" s="473">
        <v>160</v>
      </c>
      <c r="C28" s="473">
        <v>240</v>
      </c>
      <c r="D28" s="474">
        <v>440</v>
      </c>
      <c r="E28" s="401"/>
    </row>
    <row r="30" spans="1:25" ht="13.5" customHeight="1" x14ac:dyDescent="0.15">
      <c r="A30" s="475" t="s">
        <v>10</v>
      </c>
      <c r="B30" s="476" t="s">
        <v>17</v>
      </c>
    </row>
    <row r="31" spans="1:25" x14ac:dyDescent="0.15">
      <c r="A31" s="477" t="s">
        <v>288</v>
      </c>
      <c r="B31" s="478" t="s">
        <v>18</v>
      </c>
    </row>
    <row r="32" spans="1:25" x14ac:dyDescent="0.15">
      <c r="A32" s="479" t="s">
        <v>11</v>
      </c>
      <c r="B32" s="480" t="s">
        <v>289</v>
      </c>
    </row>
    <row r="33" spans="1:24" x14ac:dyDescent="0.15">
      <c r="A33" s="481"/>
      <c r="B33" s="482"/>
    </row>
    <row r="34" spans="1:24" x14ac:dyDescent="0.15">
      <c r="A34" s="483" t="s">
        <v>290</v>
      </c>
    </row>
    <row r="35" spans="1:24" ht="31.5" x14ac:dyDescent="0.15">
      <c r="A35" s="484" t="s">
        <v>291</v>
      </c>
      <c r="B35" s="485" t="s">
        <v>292</v>
      </c>
      <c r="C35" s="485" t="s">
        <v>293</v>
      </c>
      <c r="D35" s="422" t="s">
        <v>294</v>
      </c>
      <c r="E35" s="486" t="s">
        <v>295</v>
      </c>
      <c r="F35" s="422" t="s">
        <v>296</v>
      </c>
      <c r="G35" s="486" t="s">
        <v>297</v>
      </c>
      <c r="H35" s="422" t="s">
        <v>298</v>
      </c>
      <c r="I35" s="486" t="s">
        <v>299</v>
      </c>
      <c r="J35" s="422" t="s">
        <v>300</v>
      </c>
      <c r="K35" s="422" t="s">
        <v>301</v>
      </c>
      <c r="L35" s="422" t="s">
        <v>302</v>
      </c>
      <c r="M35" s="476" t="s">
        <v>303</v>
      </c>
      <c r="U35" s="487"/>
    </row>
    <row r="36" spans="1:24" x14ac:dyDescent="0.15">
      <c r="A36" s="488">
        <v>1</v>
      </c>
      <c r="B36" s="489" t="s">
        <v>304</v>
      </c>
      <c r="C36" s="489" t="s">
        <v>305</v>
      </c>
      <c r="D36" s="490" t="s">
        <v>306</v>
      </c>
      <c r="E36" s="491">
        <v>3.7</v>
      </c>
      <c r="F36" s="492">
        <v>0.8</v>
      </c>
      <c r="G36" s="493">
        <f>85.8%</f>
        <v>0.85799999999999998</v>
      </c>
      <c r="H36" s="494">
        <v>1219</v>
      </c>
      <c r="I36" s="495">
        <v>949</v>
      </c>
      <c r="J36" s="495">
        <v>270</v>
      </c>
      <c r="K36" s="496">
        <v>25</v>
      </c>
      <c r="L36" s="511">
        <v>0.20499999999999999</v>
      </c>
      <c r="M36" s="498"/>
      <c r="U36" s="487"/>
    </row>
    <row r="37" spans="1:24" x14ac:dyDescent="0.15">
      <c r="A37" s="488">
        <v>2</v>
      </c>
      <c r="B37" s="489" t="s">
        <v>307</v>
      </c>
      <c r="C37" s="489" t="s">
        <v>308</v>
      </c>
      <c r="D37" s="490" t="s">
        <v>309</v>
      </c>
      <c r="E37" s="491">
        <v>10</v>
      </c>
      <c r="F37" s="492">
        <v>0.8</v>
      </c>
      <c r="G37" s="499">
        <v>0.90200000000000002</v>
      </c>
      <c r="H37" s="494">
        <v>3820</v>
      </c>
      <c r="I37" s="495">
        <v>2200</v>
      </c>
      <c r="J37" s="495">
        <v>1620</v>
      </c>
      <c r="K37" s="496">
        <v>600</v>
      </c>
      <c r="L37" s="511"/>
      <c r="M37" s="498">
        <v>0.30759999999999998</v>
      </c>
      <c r="U37" s="487"/>
    </row>
    <row r="38" spans="1:24" x14ac:dyDescent="0.15">
      <c r="A38" s="488">
        <v>3</v>
      </c>
      <c r="B38" s="489" t="s">
        <v>310</v>
      </c>
      <c r="C38" s="489" t="s">
        <v>311</v>
      </c>
      <c r="D38" s="490" t="s">
        <v>309</v>
      </c>
      <c r="E38" s="491">
        <v>20</v>
      </c>
      <c r="F38" s="492">
        <v>0.8</v>
      </c>
      <c r="G38" s="499">
        <v>0.90200000000000002</v>
      </c>
      <c r="H38" s="494">
        <v>3820</v>
      </c>
      <c r="I38" s="495">
        <v>2200</v>
      </c>
      <c r="J38" s="495">
        <v>1620</v>
      </c>
      <c r="K38" s="496">
        <v>1295</v>
      </c>
      <c r="L38" s="511"/>
      <c r="M38" s="498">
        <v>0.4466</v>
      </c>
      <c r="U38" s="487"/>
    </row>
    <row r="39" spans="1:24" x14ac:dyDescent="0.15">
      <c r="A39" s="488">
        <v>4</v>
      </c>
      <c r="B39" s="489" t="s">
        <v>310</v>
      </c>
      <c r="C39" s="489" t="s">
        <v>311</v>
      </c>
      <c r="D39" s="490" t="s">
        <v>306</v>
      </c>
      <c r="E39" s="491">
        <v>20</v>
      </c>
      <c r="F39" s="492">
        <v>0.8</v>
      </c>
      <c r="G39" s="499">
        <v>0.90200000000000002</v>
      </c>
      <c r="H39" s="494">
        <v>2820</v>
      </c>
      <c r="I39" s="495">
        <v>2200</v>
      </c>
      <c r="J39" s="495">
        <v>620</v>
      </c>
      <c r="K39" s="496">
        <v>165</v>
      </c>
      <c r="L39" s="511">
        <v>0.13</v>
      </c>
      <c r="M39" s="498"/>
      <c r="U39" s="487"/>
    </row>
    <row r="40" spans="1:24" x14ac:dyDescent="0.15">
      <c r="A40" s="488">
        <v>5</v>
      </c>
      <c r="B40" s="489" t="s">
        <v>312</v>
      </c>
      <c r="C40" s="489" t="s">
        <v>313</v>
      </c>
      <c r="D40" s="490" t="s">
        <v>309</v>
      </c>
      <c r="E40" s="491">
        <v>50</v>
      </c>
      <c r="F40" s="492">
        <v>0.7</v>
      </c>
      <c r="G40" s="499">
        <v>0.88700000000000001</v>
      </c>
      <c r="H40" s="494">
        <v>31500</v>
      </c>
      <c r="I40" s="495">
        <v>25000</v>
      </c>
      <c r="J40" s="495">
        <v>6500</v>
      </c>
      <c r="K40" s="496">
        <v>3687.5</v>
      </c>
      <c r="L40" s="511"/>
      <c r="M40" s="498">
        <v>0.26314444444444401</v>
      </c>
      <c r="U40" s="487"/>
    </row>
    <row r="41" spans="1:24" x14ac:dyDescent="0.15">
      <c r="A41" s="488">
        <v>6</v>
      </c>
      <c r="B41" s="489" t="s">
        <v>312</v>
      </c>
      <c r="C41" s="489" t="s">
        <v>313</v>
      </c>
      <c r="D41" s="490" t="s">
        <v>306</v>
      </c>
      <c r="E41" s="491">
        <v>50</v>
      </c>
      <c r="F41" s="492">
        <v>0.7</v>
      </c>
      <c r="G41" s="499">
        <v>0.88700000000000001</v>
      </c>
      <c r="H41" s="494">
        <v>29000</v>
      </c>
      <c r="I41" s="495">
        <v>25000</v>
      </c>
      <c r="J41" s="495">
        <v>4000</v>
      </c>
      <c r="K41" s="496">
        <v>2812.5</v>
      </c>
      <c r="L41" s="511">
        <v>0.12</v>
      </c>
      <c r="M41" s="498"/>
      <c r="U41" s="487"/>
    </row>
    <row r="42" spans="1:24" x14ac:dyDescent="0.15">
      <c r="A42" s="488">
        <v>7</v>
      </c>
      <c r="B42" s="489" t="s">
        <v>314</v>
      </c>
      <c r="C42" s="489" t="s">
        <v>315</v>
      </c>
      <c r="D42" s="490" t="s">
        <v>309</v>
      </c>
      <c r="E42" s="491">
        <v>150</v>
      </c>
      <c r="F42" s="492">
        <v>0.7</v>
      </c>
      <c r="G42" s="499">
        <v>0.88700000000000001</v>
      </c>
      <c r="H42" s="494">
        <v>66625</v>
      </c>
      <c r="I42" s="495">
        <v>55000</v>
      </c>
      <c r="J42" s="495">
        <v>11625</v>
      </c>
      <c r="K42" s="496">
        <v>7962.5</v>
      </c>
      <c r="L42" s="511"/>
      <c r="M42" s="498">
        <v>0.25869999999999999</v>
      </c>
    </row>
    <row r="43" spans="1:24" x14ac:dyDescent="0.15">
      <c r="A43" s="488">
        <v>8</v>
      </c>
      <c r="B43" s="489" t="s">
        <v>314</v>
      </c>
      <c r="C43" s="489" t="s">
        <v>315</v>
      </c>
      <c r="D43" s="490" t="s">
        <v>306</v>
      </c>
      <c r="E43" s="491">
        <v>150</v>
      </c>
      <c r="F43" s="492">
        <v>0.7</v>
      </c>
      <c r="G43" s="499">
        <v>0.88700000000000001</v>
      </c>
      <c r="H43" s="494">
        <v>66000</v>
      </c>
      <c r="I43" s="495">
        <v>55000</v>
      </c>
      <c r="J43" s="495">
        <v>11000</v>
      </c>
      <c r="K43" s="496">
        <v>3300</v>
      </c>
      <c r="L43" s="511">
        <v>0.08</v>
      </c>
      <c r="M43" s="498"/>
    </row>
    <row r="44" spans="1:24" x14ac:dyDescent="0.15">
      <c r="A44" s="488">
        <v>9</v>
      </c>
      <c r="B44" s="489" t="s">
        <v>316</v>
      </c>
      <c r="C44" s="489" t="s">
        <v>317</v>
      </c>
      <c r="D44" s="490" t="s">
        <v>309</v>
      </c>
      <c r="E44" s="491">
        <v>350</v>
      </c>
      <c r="F44" s="492">
        <v>0.7</v>
      </c>
      <c r="G44" s="499">
        <v>0.88700000000000001</v>
      </c>
      <c r="H44" s="494">
        <v>171250</v>
      </c>
      <c r="I44" s="495">
        <v>140000</v>
      </c>
      <c r="J44" s="495">
        <v>31250</v>
      </c>
      <c r="K44" s="496">
        <v>19450</v>
      </c>
      <c r="L44" s="511"/>
      <c r="M44" s="498">
        <v>0.29939444444444502</v>
      </c>
      <c r="U44" s="487"/>
      <c r="V44" s="326"/>
    </row>
    <row r="45" spans="1:24" x14ac:dyDescent="0.15">
      <c r="A45" s="500">
        <v>10</v>
      </c>
      <c r="B45" s="501" t="s">
        <v>316</v>
      </c>
      <c r="C45" s="501" t="s">
        <v>317</v>
      </c>
      <c r="D45" s="502" t="s">
        <v>306</v>
      </c>
      <c r="E45" s="503">
        <v>350</v>
      </c>
      <c r="F45" s="504">
        <v>0.7</v>
      </c>
      <c r="G45" s="505">
        <v>0.88700000000000001</v>
      </c>
      <c r="H45" s="506">
        <v>168000</v>
      </c>
      <c r="I45" s="507">
        <v>140000</v>
      </c>
      <c r="J45" s="507">
        <v>28000</v>
      </c>
      <c r="K45" s="508">
        <v>8400</v>
      </c>
      <c r="L45" s="561">
        <v>0.08</v>
      </c>
      <c r="M45" s="510"/>
      <c r="U45" s="487"/>
      <c r="V45" s="326"/>
    </row>
    <row r="46" spans="1:24" x14ac:dyDescent="0.15">
      <c r="A46" s="398"/>
      <c r="B46" s="489"/>
      <c r="C46" s="489"/>
      <c r="D46" s="490"/>
      <c r="E46" s="491"/>
      <c r="F46" s="492"/>
      <c r="G46" s="499"/>
      <c r="H46" s="494"/>
      <c r="I46" s="495"/>
      <c r="J46" s="495"/>
      <c r="K46" s="496"/>
      <c r="L46" s="511"/>
      <c r="M46" s="511"/>
      <c r="U46" s="487"/>
      <c r="V46" s="326"/>
    </row>
    <row r="47" spans="1:24" x14ac:dyDescent="0.15">
      <c r="A47" s="192" t="s">
        <v>318</v>
      </c>
      <c r="U47" s="512"/>
      <c r="V47" s="487"/>
      <c r="W47" s="487"/>
      <c r="X47" s="326"/>
    </row>
    <row r="48" spans="1:24" ht="31.5" x14ac:dyDescent="0.15">
      <c r="A48" s="513" t="s">
        <v>291</v>
      </c>
      <c r="B48" s="514" t="s">
        <v>319</v>
      </c>
      <c r="C48" s="515" t="s">
        <v>320</v>
      </c>
      <c r="U48" s="512"/>
      <c r="V48" s="487"/>
      <c r="W48" s="487"/>
      <c r="X48" s="326"/>
    </row>
    <row r="49" spans="1:24" x14ac:dyDescent="0.15">
      <c r="A49" s="400">
        <v>1</v>
      </c>
      <c r="B49" s="401">
        <v>350</v>
      </c>
      <c r="C49" s="469">
        <v>350</v>
      </c>
      <c r="U49" s="512"/>
      <c r="V49" s="487"/>
      <c r="W49" s="487"/>
      <c r="X49" s="326"/>
    </row>
    <row r="50" spans="1:24" x14ac:dyDescent="0.15">
      <c r="A50" s="400">
        <v>2</v>
      </c>
      <c r="B50" s="401">
        <v>150</v>
      </c>
      <c r="C50" s="469">
        <v>150</v>
      </c>
      <c r="U50" s="512"/>
      <c r="V50" s="487"/>
      <c r="W50" s="487"/>
      <c r="X50" s="326"/>
    </row>
    <row r="51" spans="1:24" x14ac:dyDescent="0.15">
      <c r="A51" s="400">
        <v>3</v>
      </c>
      <c r="B51" s="401">
        <v>50</v>
      </c>
      <c r="C51" s="469">
        <v>50</v>
      </c>
      <c r="U51" s="512"/>
      <c r="V51" s="487"/>
      <c r="W51" s="487"/>
      <c r="X51" s="326"/>
    </row>
    <row r="52" spans="1:24" x14ac:dyDescent="0.15">
      <c r="A52" s="400">
        <v>4</v>
      </c>
      <c r="B52" s="401">
        <v>20</v>
      </c>
      <c r="C52" s="469">
        <v>20</v>
      </c>
    </row>
    <row r="53" spans="1:24" x14ac:dyDescent="0.15">
      <c r="A53" s="443">
        <v>5</v>
      </c>
      <c r="B53" s="444">
        <v>3.7</v>
      </c>
      <c r="C53" s="471">
        <v>10</v>
      </c>
    </row>
    <row r="56" spans="1:24" x14ac:dyDescent="0.15">
      <c r="A56" s="192" t="s">
        <v>321</v>
      </c>
    </row>
    <row r="57" spans="1:24" ht="52.5" x14ac:dyDescent="0.15">
      <c r="A57" s="516" t="s">
        <v>322</v>
      </c>
      <c r="B57" s="517" t="s">
        <v>323</v>
      </c>
      <c r="C57" s="518" t="s">
        <v>324</v>
      </c>
    </row>
    <row r="58" spans="1:24" x14ac:dyDescent="0.15">
      <c r="A58" s="519">
        <v>0</v>
      </c>
      <c r="B58" s="520">
        <v>1</v>
      </c>
      <c r="C58" s="521">
        <v>0</v>
      </c>
      <c r="E58" s="294"/>
      <c r="F58" s="294"/>
    </row>
    <row r="59" spans="1:24" x14ac:dyDescent="0.15">
      <c r="A59" s="519">
        <v>1</v>
      </c>
      <c r="B59" s="520">
        <v>0.813410052538031</v>
      </c>
      <c r="C59" s="521">
        <v>0.186589947461969</v>
      </c>
      <c r="E59" s="294"/>
      <c r="F59" s="294"/>
    </row>
    <row r="60" spans="1:24" x14ac:dyDescent="0.15">
      <c r="A60" s="519">
        <v>2</v>
      </c>
      <c r="B60" s="520">
        <v>0.65951563279480097</v>
      </c>
      <c r="C60" s="521">
        <v>0.17024218360259999</v>
      </c>
      <c r="E60" s="294"/>
      <c r="F60" s="294"/>
    </row>
    <row r="61" spans="1:24" x14ac:dyDescent="0.15">
      <c r="A61" s="519">
        <v>3</v>
      </c>
      <c r="B61" s="520">
        <v>0.53473751466870401</v>
      </c>
      <c r="C61" s="521">
        <v>0.15508749511043199</v>
      </c>
      <c r="E61" s="294"/>
      <c r="F61" s="294"/>
    </row>
    <row r="62" spans="1:24" x14ac:dyDescent="0.15">
      <c r="A62" s="519">
        <v>4</v>
      </c>
      <c r="B62" s="520">
        <v>0.43356699276759902</v>
      </c>
      <c r="C62" s="521">
        <v>0.14160825180809999</v>
      </c>
      <c r="E62" s="294"/>
      <c r="F62" s="294"/>
    </row>
    <row r="63" spans="1:24" x14ac:dyDescent="0.15">
      <c r="A63" s="519">
        <v>5</v>
      </c>
      <c r="B63" s="520">
        <v>0.35153759005294899</v>
      </c>
      <c r="C63" s="521">
        <v>0.12969248198941</v>
      </c>
      <c r="E63" s="294"/>
      <c r="F63" s="294"/>
    </row>
    <row r="64" spans="1:24" x14ac:dyDescent="0.15">
      <c r="A64" s="519">
        <v>6</v>
      </c>
      <c r="B64" s="520">
        <v>0.28502787177453798</v>
      </c>
      <c r="C64" s="521">
        <v>0.11916202137091</v>
      </c>
      <c r="E64" s="294"/>
      <c r="F64" s="294"/>
    </row>
    <row r="65" spans="1:10" x14ac:dyDescent="0.15">
      <c r="A65" s="519">
        <v>7</v>
      </c>
      <c r="B65" s="520">
        <v>0.231101566339138</v>
      </c>
      <c r="C65" s="521">
        <v>0.109842633380123</v>
      </c>
      <c r="E65" s="294"/>
      <c r="F65" s="294"/>
    </row>
    <row r="66" spans="1:10" x14ac:dyDescent="0.15">
      <c r="A66" s="519">
        <v>8</v>
      </c>
      <c r="B66" s="520">
        <v>0.18737793476790099</v>
      </c>
      <c r="C66" s="521">
        <v>0.101577758154012</v>
      </c>
      <c r="E66" s="294"/>
      <c r="F66" s="294"/>
    </row>
    <row r="67" spans="1:10" x14ac:dyDescent="0.15">
      <c r="A67" s="519">
        <v>9</v>
      </c>
      <c r="B67" s="520">
        <v>0.15192666581220701</v>
      </c>
      <c r="C67" s="521">
        <v>9.4230370465310298E-2</v>
      </c>
    </row>
    <row r="68" spans="1:10" x14ac:dyDescent="0.15">
      <c r="A68" s="522">
        <v>10</v>
      </c>
      <c r="B68" s="523">
        <v>0.123182656556678</v>
      </c>
      <c r="C68" s="524">
        <v>8.7681734344332199E-2</v>
      </c>
    </row>
    <row r="70" spans="1:10" x14ac:dyDescent="0.15">
      <c r="A70" s="192" t="s">
        <v>325</v>
      </c>
    </row>
    <row r="71" spans="1:10" ht="31.5" x14ac:dyDescent="0.15">
      <c r="A71" s="525" t="s">
        <v>255</v>
      </c>
      <c r="B71" s="422" t="s">
        <v>326</v>
      </c>
      <c r="C71" s="526" t="s">
        <v>327</v>
      </c>
      <c r="D71" s="526" t="s">
        <v>328</v>
      </c>
      <c r="E71" s="527" t="s">
        <v>329</v>
      </c>
      <c r="F71" s="528"/>
      <c r="G71" s="528"/>
      <c r="H71" s="528"/>
      <c r="I71" s="398"/>
      <c r="J71" s="398"/>
    </row>
    <row r="72" spans="1:10" hidden="1" x14ac:dyDescent="0.15">
      <c r="A72" s="400"/>
      <c r="B72" s="398"/>
      <c r="C72" s="528"/>
      <c r="D72" s="528"/>
      <c r="E72" s="562"/>
      <c r="F72" s="528"/>
      <c r="G72" s="528"/>
      <c r="H72" s="528"/>
      <c r="I72" s="398"/>
      <c r="J72" s="398"/>
    </row>
    <row r="73" spans="1:10" hidden="1" x14ac:dyDescent="0.15">
      <c r="A73" s="400"/>
      <c r="B73" s="398"/>
      <c r="C73" s="528"/>
      <c r="D73" s="528"/>
      <c r="E73" s="562"/>
      <c r="F73" s="528"/>
      <c r="G73" s="528"/>
      <c r="H73" s="528"/>
      <c r="I73" s="398"/>
      <c r="J73" s="398"/>
    </row>
    <row r="74" spans="1:10" hidden="1" x14ac:dyDescent="0.15">
      <c r="A74" s="400"/>
      <c r="B74" s="398"/>
      <c r="C74" s="528"/>
      <c r="D74" s="528"/>
      <c r="E74" s="562"/>
      <c r="F74" s="528"/>
      <c r="G74" s="528"/>
      <c r="H74" s="528"/>
      <c r="I74" s="398"/>
      <c r="J74" s="398"/>
    </row>
    <row r="75" spans="1:10" hidden="1" x14ac:dyDescent="0.15">
      <c r="A75" s="400"/>
      <c r="B75" s="398"/>
      <c r="C75" s="528"/>
      <c r="D75" s="528"/>
      <c r="E75" s="562"/>
      <c r="F75" s="528"/>
      <c r="G75" s="528"/>
      <c r="H75" s="528"/>
      <c r="I75" s="398"/>
      <c r="J75" s="398"/>
    </row>
    <row r="76" spans="1:10" x14ac:dyDescent="0.15">
      <c r="A76" s="400" t="s">
        <v>263</v>
      </c>
      <c r="B76" s="529">
        <v>3239.1638990074698</v>
      </c>
      <c r="C76" s="530">
        <v>4.1163888019517897E-2</v>
      </c>
      <c r="D76" s="530">
        <v>6.4968136497062501</v>
      </c>
      <c r="E76" s="531">
        <v>8.1206880686973001E-2</v>
      </c>
      <c r="F76" s="532"/>
      <c r="G76" s="532"/>
      <c r="H76" s="532"/>
      <c r="I76" s="529"/>
      <c r="J76" s="529"/>
    </row>
    <row r="77" spans="1:10" x14ac:dyDescent="0.15">
      <c r="A77" s="400" t="s">
        <v>264</v>
      </c>
      <c r="B77" s="529">
        <v>3239.1638990074698</v>
      </c>
      <c r="C77" s="530">
        <v>3.9143410050660299E-2</v>
      </c>
      <c r="D77" s="530">
        <v>10.6024192685359</v>
      </c>
      <c r="E77" s="531">
        <v>8.1206880686973001E-2</v>
      </c>
      <c r="F77" s="532"/>
      <c r="G77" s="532"/>
      <c r="H77" s="532"/>
      <c r="I77" s="529"/>
      <c r="J77" s="529"/>
    </row>
    <row r="78" spans="1:10" x14ac:dyDescent="0.15">
      <c r="A78" s="443" t="s">
        <v>7</v>
      </c>
      <c r="B78" s="533">
        <v>3239.1638990074698</v>
      </c>
      <c r="C78" s="534">
        <v>4.5970063800938599E-2</v>
      </c>
      <c r="D78" s="534">
        <v>7.9345539045514801</v>
      </c>
      <c r="E78" s="535">
        <v>6.82332819826168E-2</v>
      </c>
      <c r="F78" s="532"/>
      <c r="G78" s="532"/>
      <c r="H78" s="532"/>
      <c r="I78" s="529"/>
      <c r="J78" s="529"/>
    </row>
    <row r="80" spans="1:10" x14ac:dyDescent="0.15">
      <c r="A80" s="456" t="s">
        <v>330</v>
      </c>
    </row>
    <row r="81" spans="1:3" ht="9.75" customHeight="1" x14ac:dyDescent="0.15">
      <c r="A81" s="536" t="s">
        <v>331</v>
      </c>
      <c r="B81" s="537" t="s">
        <v>332</v>
      </c>
      <c r="C81" s="538"/>
    </row>
    <row r="82" spans="1:3" x14ac:dyDescent="0.15">
      <c r="A82" s="539" t="s">
        <v>333</v>
      </c>
      <c r="B82" s="540">
        <v>0.36933739984929198</v>
      </c>
      <c r="C82" s="538"/>
    </row>
    <row r="83" spans="1:3" x14ac:dyDescent="0.15">
      <c r="A83" s="539" t="s">
        <v>334</v>
      </c>
      <c r="B83" s="540">
        <v>0</v>
      </c>
      <c r="C83" s="538"/>
    </row>
    <row r="84" spans="1:3" x14ac:dyDescent="0.15">
      <c r="A84" s="541" t="s">
        <v>335</v>
      </c>
      <c r="B84" s="542">
        <v>0.45693097400279298</v>
      </c>
      <c r="C84" s="538"/>
    </row>
    <row r="85" spans="1:3" x14ac:dyDescent="0.15">
      <c r="A85" s="543" t="s">
        <v>336</v>
      </c>
    </row>
    <row r="87" spans="1:3" x14ac:dyDescent="0.15">
      <c r="A87" s="544" t="s">
        <v>337</v>
      </c>
      <c r="B87" s="545">
        <v>1.2</v>
      </c>
    </row>
    <row r="89" spans="1:3" x14ac:dyDescent="0.15">
      <c r="A89" s="546" t="s">
        <v>338</v>
      </c>
      <c r="B89" s="547">
        <v>0.95499999999999996</v>
      </c>
    </row>
  </sheetData>
  <pageMargins left="0.7" right="0.7" top="0.75" bottom="0.75" header="0.51180555555555496" footer="0.51180555555555496"/>
  <pageSetup paperSize="9" firstPageNumber="0"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3" ma:contentTypeDescription="Een nieuw document maken." ma:contentTypeScope="" ma:versionID="5c1ede90c3350026834795cdbb76e963">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c0d0b67bfa9cfcd1603acd1c5ce66856"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544F54-0789-44CA-9CA1-EC8145D824A4}">
  <ds:schemaRefs>
    <ds:schemaRef ds:uri="http://schemas.microsoft.com/sharepoint/v3/contenttype/forms"/>
  </ds:schemaRefs>
</ds:datastoreItem>
</file>

<file path=customXml/itemProps2.xml><?xml version="1.0" encoding="utf-8"?>
<ds:datastoreItem xmlns:ds="http://schemas.openxmlformats.org/officeDocument/2006/customXml" ds:itemID="{49AFE84C-18BF-47FB-8850-EE56C946FE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2A37A9A-3816-4AC5-A4C1-853A775EADD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emplate/>
  <TotalTime>281</TotalTime>
  <Application>Microsoft Excel</Application>
  <DocSecurity>0</DocSecurity>
  <ScaleCrop>false</ScaleCrop>
  <HeadingPairs>
    <vt:vector size="4" baseType="variant">
      <vt:variant>
        <vt:lpstr>Worksheets</vt:lpstr>
      </vt:variant>
      <vt:variant>
        <vt:i4>8</vt:i4>
      </vt:variant>
      <vt:variant>
        <vt:lpstr>Named Ranges</vt:lpstr>
      </vt:variant>
      <vt:variant>
        <vt:i4>23</vt:i4>
      </vt:variant>
    </vt:vector>
  </HeadingPairs>
  <TitlesOfParts>
    <vt:vector size="31" baseType="lpstr">
      <vt:lpstr>Readme</vt:lpstr>
      <vt:lpstr>TCO module ondernemers</vt:lpstr>
      <vt:lpstr>TCO module beleidsmakers</vt:lpstr>
      <vt:lpstr>ondernemers_calc</vt:lpstr>
      <vt:lpstr>Model parameters</vt:lpstr>
      <vt:lpstr>beleidsmakers_calc</vt:lpstr>
      <vt:lpstr>ondernemers_calc (2)</vt:lpstr>
      <vt:lpstr>Model parameters (2)</vt:lpstr>
      <vt:lpstr>'Model parameters (2)'!Batt_5</vt:lpstr>
      <vt:lpstr>Batt_5</vt:lpstr>
      <vt:lpstr>'Model parameters (2)'!Batt_6</vt:lpstr>
      <vt:lpstr>Batt_6</vt:lpstr>
      <vt:lpstr>'Model parameters (2)'!Batt_7</vt:lpstr>
      <vt:lpstr>Batt_7</vt:lpstr>
      <vt:lpstr>'Model parameters (2)'!batt_max</vt:lpstr>
      <vt:lpstr>batt_max</vt:lpstr>
      <vt:lpstr>'Model parameters (2)'!EC_rate</vt:lpstr>
      <vt:lpstr>EC_rate</vt:lpstr>
      <vt:lpstr>Readme!OLE_LINK1</vt:lpstr>
      <vt:lpstr>Readme!OpenAt</vt:lpstr>
      <vt:lpstr>'TCO module beleidsmakers'!Print_Area</vt:lpstr>
      <vt:lpstr>'TCO module ondernemers'!Print_Area</vt:lpstr>
      <vt:lpstr>'Model parameters (2)'!refrigeration</vt:lpstr>
      <vt:lpstr>refrigeration</vt:lpstr>
      <vt:lpstr>'TCO module beleidsmakers'!solver_opt</vt:lpstr>
      <vt:lpstr>'Model parameters (2)'!speed</vt:lpstr>
      <vt:lpstr>speed</vt:lpstr>
      <vt:lpstr>'Model parameters (2)'!waiting</vt:lpstr>
      <vt:lpstr>waiting</vt:lpstr>
      <vt:lpstr>'TCO module beleidsmakers'!Z_3F87202A_8EBC_4AA0_83B0_6F9D78D1FE5C_.wvu.PrintArea</vt:lpstr>
      <vt:lpstr>'TCO module ondernemers'!Z_3F87202A_8EBC_4AA0_83B0_6F9D78D1FE5C_.wvu.PrintArea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Teoh, Tharsis</dc:creator>
  <dc:description/>
  <cp:lastModifiedBy>J.M. van der Meer</cp:lastModifiedBy>
  <cp:revision>5</cp:revision>
  <cp:lastPrinted>2020-09-21T09:15:22Z</cp:lastPrinted>
  <dcterms:created xsi:type="dcterms:W3CDTF">2019-02-26T13:42:45Z</dcterms:created>
  <dcterms:modified xsi:type="dcterms:W3CDTF">2022-03-15T20:52:27Z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ntentTypeId">
    <vt:lpwstr>0x0101002337232FB3D7B844B0544811119A784F</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