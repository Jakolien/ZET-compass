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eer0084\OneDrive - HZ University of Applied Sciences\transport_kompas\input\"/>
    </mc:Choice>
  </mc:AlternateContent>
  <xr:revisionPtr revIDLastSave="0" documentId="8_{FC126CD0-0410-41AA-8FE0-866EA9DC6787}" xr6:coauthVersionLast="47" xr6:coauthVersionMax="47" xr10:uidLastSave="{00000000-0000-0000-0000-000000000000}"/>
  <bookViews>
    <workbookView xWindow="-120" yWindow="-120" windowWidth="29040" windowHeight="15840" activeTab="2" xr2:uid="{00000000-000D-0000-FFFF-FFFF00000000}"/>
  </bookViews>
  <sheets>
    <sheet name="Uitleg ZET kompas" sheetId="3" r:id="rId1"/>
    <sheet name="Algemene vragen" sheetId="6" r:id="rId2"/>
    <sheet name="Input" sheetId="1" r:id="rId3"/>
    <sheet name="Uitleg voertuigtypes" sheetId="5" r:id="rId4"/>
    <sheet name="Legenda" sheetId="2" r:id="rId5"/>
  </sheets>
  <externalReferences>
    <externalReference r:id="rId6"/>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 i="1" l="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J.M. van der Meer</author>
  </authors>
  <commentList>
    <comment ref="A1" authorId="0" shapeId="0" xr:uid="{00000000-0006-0000-0200-000001000000}">
      <text>
        <r>
          <rPr>
            <sz val="10"/>
            <color theme="1"/>
            <rFont val="Calibri"/>
            <family val="2"/>
          </rPr>
          <t xml:space="preserve">In plaats van een kenteken kunt u als u dat wenst ook een genummerde lijst invullen, waarmee u de afzonderlijke voertuigen in het eindresultaat kunt herkennen. 
</t>
        </r>
      </text>
    </comment>
    <comment ref="B1" authorId="0" shapeId="0" xr:uid="{00000000-0006-0000-0200-000002000000}">
      <text>
        <r>
          <rPr>
            <sz val="10"/>
            <color theme="1"/>
            <rFont val="Calibri"/>
            <family val="2"/>
          </rPr>
          <t xml:space="preserve">Toelichting voertuigtypes staat in de volgende sheet
</t>
        </r>
      </text>
    </comment>
    <comment ref="G1" authorId="0" shapeId="0" xr:uid="{00000000-0006-0000-0200-000003000000}">
      <text>
        <r>
          <rPr>
            <sz val="10"/>
            <color theme="1"/>
            <rFont val="Calibri"/>
            <family val="2"/>
          </rPr>
          <t xml:space="preserve">PTO verbruik anders dan koeling, zoals bewegende laadklep, kraan etc.
</t>
        </r>
      </text>
    </comment>
    <comment ref="I1" authorId="0" shapeId="0" xr:uid="{00000000-0006-0000-0200-000004000000}">
      <text>
        <r>
          <rPr>
            <sz val="10"/>
            <color theme="1"/>
            <rFont val="Calibri"/>
            <family val="2"/>
          </rPr>
          <t xml:space="preserve">Dit gaat niet om uitzonderlijke gevallen, maar om kilometrages die regelmatig worden gereden op een dag.
</t>
        </r>
      </text>
    </comment>
    <comment ref="K1" authorId="0" shapeId="0" xr:uid="{00000000-0006-0000-0200-000005000000}">
      <text>
        <r>
          <rPr>
            <sz val="10"/>
            <color theme="1"/>
            <rFont val="Calibri"/>
            <family val="2"/>
          </rPr>
          <t xml:space="preserve">Als u in Rotterdam rijdt of in de toekomst gaat rijden betekent dit dat u vanaf 2027 verplicht bent met een ZE voertuig te rijden. Ook in andere grotere steden is dit het geval. Steden in Zeeland doen voorlopig niet mee. 
Meer info kunt u vinden op de website van de rijksoverheid over dit onderwerp. 
</t>
        </r>
      </text>
    </comment>
    <comment ref="M1" authorId="0" shapeId="0" xr:uid="{00000000-0006-0000-0200-000006000000}">
      <text>
        <r>
          <rPr>
            <sz val="10"/>
            <color theme="1"/>
            <rFont val="Calibri"/>
            <family val="2"/>
          </rPr>
          <t xml:space="preserve">Vul hier in of er de mogelijkheid is om in de toekomst op depot te laden met voertuig buiten operationele uren ('s nachts) en/of tijdens operationele uren (overdag). Als u niet op depot kan laden gaan we ervanuit dat onderweg oplaadt of op een publiek laadplein. Het verschil ligt hier voornamelijk in de kosten van het laden. Onder depot verstaan wij ook andere private laadpunten, bijvoorbeeld bij de werknemer thuis of op een gedeeld laadplein.
</t>
        </r>
      </text>
    </comment>
    <comment ref="N1" authorId="0" shapeId="0" xr:uid="{00000000-0006-0000-0200-000007000000}">
      <text>
        <r>
          <rPr>
            <sz val="10"/>
            <color theme="1"/>
            <rFont val="Calibri"/>
            <family val="2"/>
          </rPr>
          <t xml:space="preserve">Tijd die u hebt per voertuig om te laden buiten operationele uren. Als u in de vorige vraag 's nachts  heeft ingevuld gaan we ervan uit dat er 's nachts op eigen depot wordt opgeladen. Zoniet kunt u in extra opmerkingen op de vorige sheet invullen waar u van plan bent te laden (algemeen laadplein etc.).
</t>
        </r>
      </text>
    </comment>
    <comment ref="O1" authorId="0" shapeId="0" xr:uid="{00000000-0006-0000-0200-000008000000}">
      <text>
        <r>
          <rPr>
            <sz val="10"/>
            <color theme="1"/>
            <rFont val="Calibri"/>
            <family val="2"/>
          </rPr>
          <t xml:space="preserve">Hoe lang kunt u overdag ongeveer bijladen tussen 7:00 en 18:00 of tijdens operationele uren. Hierbij kunt u meerekenen als u stilstaat bij een klant of laad en lostijd van uw voertuig. Het gaat om een indicatie, dus gemiddelde waardes.
</t>
        </r>
      </text>
    </comment>
    <comment ref="P1" authorId="0" shapeId="0" xr:uid="{00000000-0006-0000-0200-000009000000}">
      <text>
        <r>
          <rPr>
            <sz val="10"/>
            <color theme="1"/>
            <rFont val="Calibri"/>
            <family val="2"/>
          </rPr>
          <t xml:space="preserve">Als u plannen hebt om groene stroom af te gaan nemen of zonnepanelen op uw dak te leggen kunt u hier groen invullen.
</t>
        </r>
      </text>
    </comment>
  </commentList>
</comments>
</file>

<file path=xl/sharedStrings.xml><?xml version="1.0" encoding="utf-8"?>
<sst xmlns="http://schemas.openxmlformats.org/spreadsheetml/2006/main" count="462" uniqueCount="130">
  <si>
    <t>Het Zero Emissie Transport Kompas</t>
  </si>
  <si>
    <r>
      <rPr>
        <b/>
        <sz val="11"/>
        <color rgb="FF000000"/>
        <rFont val="Calibri"/>
        <family val="2"/>
      </rPr>
      <t>Context:</t>
    </r>
    <r>
      <rPr>
        <sz val="11"/>
        <color rgb="FF000000"/>
        <rFont val="Calibri"/>
        <family val="2"/>
      </rPr>
      <t xml:space="preserve"> Vervoerders en verladers (bedrijven die met eigen voertuigen voorzien in het vervoer van goederen) zullen de komende jaren moeten overstappen op zero-emissie voertuigen (veelal batterij elektrisch, maar wellicht ook waterstof). In 2030 moeten de vervoerders en verladers als 50% van hun emissies hebben gereduceerd. Dat is lastig omdat er nog beperkt zero-emissie voertuigen op de markt zijn die huidige voertuigen in de huidige operatie kunnen vervangen, er nog onvoldoende oplaadpunten zijn en de voertuigen ook nog veel duurder zijn dan voertuigen op fossiele brandstoffen. De komende jaren zal de situatie veranderen door meer aanbod van voertuigen en laadpunten en door de daling van de prijzen van elektrische voertuigen. Wanneer een bedrijf kan overstappen en met welke voertuigen is afhankelijk van de specifieke logistieke kenmerken van het bedrijf en de van de ontwikkelingen in de komende jaren </t>
    </r>
  </si>
  <si>
    <r>
      <rPr>
        <b/>
        <sz val="11"/>
        <color rgb="FF000000"/>
        <rFont val="Calibri"/>
        <family val="2"/>
      </rPr>
      <t>Doelstelling en gebruik:</t>
    </r>
    <r>
      <rPr>
        <sz val="11"/>
        <color rgb="FF000000"/>
        <rFont val="Calibri"/>
        <family val="2"/>
      </rPr>
      <t xml:space="preserve"> Het Zero Emissie Transport Kompas is een tool ontwikkeld door de Hogeschool van Zeeland (HZ) die ondernemers helpt om meer inzicht te krijgen met welke investeringsstrategie de stap naar zero-emissie gemaakt kan worden en hoe deze investeringsstrategie wordt beïnvloedt door de ontwikkeling in van de technologie en de markt. De tool rekent de Total Cost of Ownership (TCO) van het complete wagenpark door voor verschillende investeringsstrategieën en scenario. De bedrijven leveren een invoersheet aan met daarin de kenmerken van hun wagenpark en ontvangen na het draaien van het model van HZ een rapportage. HZ heeft de tool inmiddels voor 20 ondernemers toegepast. Het model zelf is geprogrammeerd in python. </t>
    </r>
  </si>
  <si>
    <r>
      <rPr>
        <b/>
        <sz val="11"/>
        <color rgb="FF000000"/>
        <rFont val="Calibri"/>
        <family val="2"/>
      </rPr>
      <t>Gebruik gegevens:</t>
    </r>
    <r>
      <rPr>
        <sz val="11"/>
        <color rgb="FF000000"/>
        <rFont val="Calibri"/>
        <family val="2"/>
      </rPr>
      <t xml:space="preserve"> De gegevens die u invult worden strict vertrouwelijk behandeld en nooit met derden gedeeld volgens onze geheimhoudingsverklaring, die u kunt opvragen bij de desbetreffende onderzoeker. Behalve het inzicht dat de bedrijven krijgen door gebruik te maken van de tool, kan het inzetten van de tool bij een groot aantal bedrijven de onderzoekers ook inzicht geven hoe bedrijven reageren op de transitiescenario’s en wanneer en waarom zijn starten met het overstappen van fossiele brandstoffen op zero-emissie energiedragers. Deze resultaten zullen t.z.t. ook met uw bedrijf worden gedeeld.</t>
    </r>
  </si>
  <si>
    <r>
      <rPr>
        <b/>
        <sz val="11"/>
        <color rgb="FF000000"/>
        <rFont val="Calibri"/>
      </rPr>
      <t>Handleiding input</t>
    </r>
    <r>
      <rPr>
        <sz val="11"/>
        <color rgb="FF000000"/>
        <rFont val="Calibri"/>
      </rPr>
      <t>: Voor het invullen van het kompas kunt u de sheet 'Input wagenpark' gebruiken om uw (gehele) wagenpark gegevens in te voeren. Als u geen gegevens heeft van een bepaalde kolom, dan kunt u niets invullen en wordt de default waarde gebruikt zoals aangegeven in het voorbeeld bovenaan. De kolommen met een * moeten worden ingevuld, anders werkt het kompas niet. Daarnaast vragen we u de aanvullende vragenlijst van 5 vragen onder de sheet 'algemene vragen' te beantwoorden. Vervolgens kunt u de ingevulde sheet doorsturen aan de onderzoeker/contactpersoon die u dit formulier heeft toegestuurd. Wij danken u bij voorbaat voor uw medewerking.</t>
    </r>
  </si>
  <si>
    <t>Algemeen</t>
  </si>
  <si>
    <r>
      <t xml:space="preserve">Naam bedrijf: </t>
    </r>
    <r>
      <rPr>
        <sz val="11"/>
        <rFont val="Arial"/>
        <family val="2"/>
      </rPr>
      <t>  </t>
    </r>
  </si>
  <si>
    <t>&lt;naam bedrijf&gt;</t>
  </si>
  <si>
    <t xml:space="preserve">Vestiging:  </t>
  </si>
  <si>
    <t>&lt;Locatie vestiging&gt;  </t>
  </si>
  <si>
    <t>Wagenpark</t>
  </si>
  <si>
    <t xml:space="preserve">Globaal beeld wagenpark:  </t>
  </si>
  <si>
    <t>&lt;Totaal aantal voertuigen&gt; </t>
  </si>
  <si>
    <t xml:space="preserve">Aantal bestelwagens:  </t>
  </si>
  <si>
    <t>&lt;Aantal bestelwagens tot 12 ton&gt; </t>
  </si>
  <si>
    <t xml:space="preserve">Aantal bakwagens:  </t>
  </si>
  <si>
    <t>&lt;Aantal bakwagens 12 ton – 18 ton&gt;  </t>
  </si>
  <si>
    <r>
      <t xml:space="preserve">Aantal trekker opleggers: </t>
    </r>
    <r>
      <rPr>
        <b/>
        <u/>
        <sz val="11"/>
        <rFont val="Arial"/>
        <family val="2"/>
      </rPr>
      <t> </t>
    </r>
    <r>
      <rPr>
        <sz val="11"/>
        <rFont val="Arial"/>
        <family val="2"/>
      </rPr>
      <t> </t>
    </r>
  </si>
  <si>
    <t>&lt;Aantal trekker-opleggers +18 ton&gt;</t>
  </si>
  <si>
    <t>Overige (verder te specifiëren):  </t>
  </si>
  <si>
    <t>Inkoopprijs energie</t>
  </si>
  <si>
    <t xml:space="preserve">Inkoopprijs diesel (€/L): </t>
  </si>
  <si>
    <t>&lt;Dieselprijs in (€/L)&gt; </t>
  </si>
  <si>
    <t xml:space="preserve">Inkoopprijs elektriciteit (elektriciteit + belasting)(€/kWh): </t>
  </si>
  <si>
    <t>&lt;Elektriciteitsprijs (€/kWh)&gt; </t>
  </si>
  <si>
    <t>Elektriciteitsaansluiting</t>
  </si>
  <si>
    <t>Wat is uw jaarverbruik elektriciteit op deze vestiging?</t>
  </si>
  <si>
    <t>&lt;Verbruik kWh)&gt;</t>
  </si>
  <si>
    <t>567.035kwh</t>
  </si>
  <si>
    <t>Wat is de capaciteit van uw huidige elektriciteitsaansluiting (aansluitcapaciteit) op deze vestiging?</t>
  </si>
  <si>
    <t>&lt;aansluitcapaciteit (Ampère)&gt;</t>
  </si>
  <si>
    <t>400 Amp</t>
  </si>
  <si>
    <t>Hebt u reëele plannen om uw elektriciteitscontract in de toekomst te vergroten. Zo ja, wat wordt uw nieuwe capaciteit en in welk jaar gaat deze in?</t>
  </si>
  <si>
    <t>&lt;nieuwe aansluitcapaciteit (Ampère)&gt;</t>
  </si>
  <si>
    <t>&lt;jaar van ingang&gt;</t>
  </si>
  <si>
    <t>nee</t>
  </si>
  <si>
    <t>Laadpunten</t>
  </si>
  <si>
    <t>Zijn er laadpunten voor elektrisch laden aanwezig op de vestiging? Zoja, hoeveel?</t>
  </si>
  <si>
    <t>&lt;Aantal laadpunten&gt;</t>
  </si>
  <si>
    <t>En wat is de capaciteit van deze laadpunten?</t>
  </si>
  <si>
    <t>&lt;Capaciteit laadpunten&gt;</t>
  </si>
  <si>
    <t>nvt</t>
  </si>
  <si>
    <t>Subsidies</t>
  </si>
  <si>
    <t>Bent u van plan om bij aankoop van elektrische voertuigen subsidies en/of investeringsaftrek aan te vragen? Indien ja, met welk belastingpercentage dienen wij rekening te houden?  </t>
  </si>
  <si>
    <t>&lt;Belastingpercentage&gt;</t>
  </si>
  <si>
    <t>ja</t>
  </si>
  <si>
    <t>Voertuig nummerplaat *</t>
  </si>
  <si>
    <t>Voertuigcategorie*</t>
  </si>
  <si>
    <t>Brandstof</t>
  </si>
  <si>
    <t>Euronorm</t>
  </si>
  <si>
    <t xml:space="preserve">Jaar van aankoop* </t>
  </si>
  <si>
    <t>Gekoeld</t>
  </si>
  <si>
    <t xml:space="preserve">PTO brandstof-verbruik per dag (in liters) </t>
  </si>
  <si>
    <t>Verwacht jaarkilometrage (in km)*</t>
  </si>
  <si>
    <t>max dagkilometrage (in km)</t>
  </si>
  <si>
    <t xml:space="preserve">Aantal operationele dagen/jaar </t>
  </si>
  <si>
    <t>Rijdt op (toekomstige) ZE zone</t>
  </si>
  <si>
    <t>technologische levensduur (in jaren)*</t>
  </si>
  <si>
    <t xml:space="preserve">s Nachts en/of gedurende dag volladen op depot? </t>
  </si>
  <si>
    <t>Maximale laadtijd 's nachts per voertuig (in uren)</t>
  </si>
  <si>
    <t>Maximale laadtijd overdag per voertuig (in uren)</t>
  </si>
  <si>
    <t>Grijze/groene elektriciteit op depot</t>
  </si>
  <si>
    <t xml:space="preserve">Enkel in te vullen wanneer u nu elektrich rijdt </t>
  </si>
  <si>
    <t>Capaciteit vrachtwagenbatterij</t>
  </si>
  <si>
    <t xml:space="preserve">Vermogen eigen oplaadsysteem </t>
  </si>
  <si>
    <t>Trekker-oplegger </t>
  </si>
  <si>
    <t>Diesel</t>
  </si>
  <si>
    <t>Nee</t>
  </si>
  <si>
    <t>Combinatie</t>
  </si>
  <si>
    <r>
      <t>Voertuigtype</t>
    </r>
    <r>
      <rPr>
        <sz val="10.5"/>
        <color rgb="FFFFFFFF"/>
        <rFont val="Calibri"/>
        <family val="2"/>
      </rPr>
      <t> </t>
    </r>
  </si>
  <si>
    <r>
      <t>Verbruik</t>
    </r>
    <r>
      <rPr>
        <sz val="10.5"/>
        <color rgb="FFFFFFFF"/>
        <rFont val="Calibri"/>
        <family val="2"/>
      </rPr>
      <t> </t>
    </r>
  </si>
  <si>
    <r>
      <t>Maximaal   Batterijpakket</t>
    </r>
    <r>
      <rPr>
        <sz val="10.5"/>
        <color rgb="FFFFFFFF"/>
        <rFont val="Calibri"/>
        <family val="2"/>
      </rPr>
      <t> </t>
    </r>
  </si>
  <si>
    <r>
      <t>Totaal   Gewicht</t>
    </r>
    <r>
      <rPr>
        <sz val="10.5"/>
        <color rgb="FFFFFFFF"/>
        <rFont val="Calibri"/>
        <family val="2"/>
      </rPr>
      <t> </t>
    </r>
  </si>
  <si>
    <r>
      <t>Prijs</t>
    </r>
    <r>
      <rPr>
        <sz val="10.5"/>
        <color rgb="FFFFFFFF"/>
        <rFont val="Calibri"/>
        <family val="2"/>
      </rPr>
      <t> </t>
    </r>
  </si>
  <si>
    <t>Kleine bestelwagen  </t>
  </si>
  <si>
    <t>0.229 </t>
  </si>
  <si>
    <t>100 </t>
  </si>
  <si>
    <t>Max. 2200 kg </t>
  </si>
  <si>
    <r>
      <t>€  </t>
    </r>
    <r>
      <rPr>
        <sz val="10.5"/>
        <rFont val="Calibri"/>
        <family val="2"/>
      </rPr>
      <t xml:space="preserve"> 18.500 </t>
    </r>
  </si>
  <si>
    <t>Medium bestelwagen </t>
  </si>
  <si>
    <t>0.298 </t>
  </si>
  <si>
    <t>Max. 2500-3000kg  </t>
  </si>
  <si>
    <r>
      <t>€  </t>
    </r>
    <r>
      <rPr>
        <sz val="10.5"/>
        <rFont val="Calibri"/>
        <family val="2"/>
      </rPr>
      <t xml:space="preserve"> 20.000 </t>
    </r>
  </si>
  <si>
    <t>Mediumluxe bestelwagen </t>
  </si>
  <si>
    <t>Max. 3000-3500kg </t>
  </si>
  <si>
    <r>
      <t>€  </t>
    </r>
    <r>
      <rPr>
        <sz val="10.5"/>
        <rFont val="Calibri"/>
        <family val="2"/>
      </rPr>
      <t xml:space="preserve"> 30.000 </t>
    </r>
  </si>
  <si>
    <t>Grote bestelwagen </t>
  </si>
  <si>
    <t>0.370 </t>
  </si>
  <si>
    <t>Max. 3500 kg </t>
  </si>
  <si>
    <r>
      <t>€  </t>
    </r>
    <r>
      <rPr>
        <sz val="10.5"/>
        <rFont val="Calibri"/>
        <family val="2"/>
      </rPr>
      <t xml:space="preserve"> 40.000 </t>
    </r>
  </si>
  <si>
    <t>Kleine bakwagen (12t) </t>
  </si>
  <si>
    <t>0.4 </t>
  </si>
  <si>
    <t>200 </t>
  </si>
  <si>
    <t>Max. 12t </t>
  </si>
  <si>
    <r>
      <t>€ 1</t>
    </r>
    <r>
      <rPr>
        <sz val="10.5"/>
        <rFont val="Calibri"/>
        <family val="2"/>
      </rPr>
      <t>57.000 </t>
    </r>
  </si>
  <si>
    <t>Grote bakwagen (18t) </t>
  </si>
  <si>
    <t>0.9 </t>
  </si>
  <si>
    <t>Max. 18t </t>
  </si>
  <si>
    <r>
      <t xml:space="preserve">€ </t>
    </r>
    <r>
      <rPr>
        <sz val="10.5"/>
        <rFont val="Calibri"/>
        <family val="2"/>
      </rPr>
      <t>267.500 </t>
    </r>
  </si>
  <si>
    <t>1.25 </t>
  </si>
  <si>
    <t>500 </t>
  </si>
  <si>
    <t>18t-40t </t>
  </si>
  <si>
    <r>
      <t xml:space="preserve">€ </t>
    </r>
    <r>
      <rPr>
        <sz val="10.5"/>
        <rFont val="Calibri"/>
        <family val="2"/>
      </rPr>
      <t>290.416 </t>
    </r>
  </si>
  <si>
    <t xml:space="preserve">Type Voertuig </t>
  </si>
  <si>
    <t xml:space="preserve">Jaar van aankoop </t>
  </si>
  <si>
    <t>Grijze/groene elektriciteit</t>
  </si>
  <si>
    <t>Rijdt op toekomstige ZE zone</t>
  </si>
  <si>
    <t xml:space="preserve">Brandstof </t>
  </si>
  <si>
    <t xml:space="preserve">Euronorm </t>
  </si>
  <si>
    <t xml:space="preserve"> s Nachts en/of gedurende dag volladen op depot? </t>
  </si>
  <si>
    <t>Kleine bestelwagen</t>
  </si>
  <si>
    <t>Ja</t>
  </si>
  <si>
    <t>Grijs</t>
  </si>
  <si>
    <t>Enkel 's nachts</t>
  </si>
  <si>
    <t>Medium bestelwagen</t>
  </si>
  <si>
    <t xml:space="preserve">Groen </t>
  </si>
  <si>
    <t xml:space="preserve">CNG </t>
  </si>
  <si>
    <t>Enkel overdag</t>
  </si>
  <si>
    <t>Medium luxe bestelwagen</t>
  </si>
  <si>
    <t xml:space="preserve">Blauwe diesel </t>
  </si>
  <si>
    <t>Grote bestelwagen</t>
  </si>
  <si>
    <t xml:space="preserve">Benzine </t>
  </si>
  <si>
    <t>Niet mogelijk</t>
  </si>
  <si>
    <t>Kleine bakwagen (12t)</t>
  </si>
  <si>
    <t>Elektrisch</t>
  </si>
  <si>
    <t>Grote bakwagen (18t)</t>
  </si>
  <si>
    <t>LNG</t>
  </si>
  <si>
    <t>Trekker-oplegger</t>
  </si>
  <si>
    <t>Groen</t>
  </si>
  <si>
    <t>voorbeeld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</si>
</sst>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theme="1"/>
      <name val="Calibri"/>
      <family val="2"/>
    </font>
    <font>
      <sz val="12"/>
      <color rgb="FFFFFFFF"/>
      <name val="Calibri"/>
      <family val="2"/>
    </font>
    <font>
      <sz val="10"/>
      <color theme="1"/>
      <name val="Segoe UI"/>
      <family val="2"/>
    </font>
    <font>
      <b/>
      <sz val="10"/>
      <color theme="1"/>
      <name val="Calibri"/>
      <family val="2"/>
    </font>
    <font>
      <sz val="8"/>
      <color rgb="FF000000"/>
      <name val="Verdana"/>
      <family val="2"/>
    </font>
    <font>
      <b/>
      <sz val="10"/>
      <color rgb="FF000000"/>
      <name val="Calibri"/>
      <family val="2"/>
    </font>
    <font>
      <sz val="10"/>
      <color rgb="FF000000"/>
      <name val="Calibri"/>
      <family val="2"/>
    </font>
    <font>
      <sz val="11"/>
      <name val="Calibri"/>
      <family val="2"/>
    </font>
    <font>
      <sz val="11"/>
      <color rgb="FF000000"/>
      <name val="Calibri"/>
      <family val="2"/>
    </font>
    <font>
      <b/>
      <sz val="11"/>
      <color rgb="FF000000"/>
      <name val="Calibri"/>
      <family val="2"/>
    </font>
    <font>
      <b/>
      <sz val="14"/>
      <color theme="1"/>
      <name val="Times New Roman"/>
      <family val="1"/>
    </font>
    <font>
      <sz val="10.5"/>
      <name val="Segoe UI"/>
      <family val="2"/>
    </font>
    <font>
      <sz val="10.5"/>
      <name val="Calibri"/>
      <family val="2"/>
    </font>
    <font>
      <b/>
      <sz val="10.5"/>
      <color rgb="FFFFFFFF"/>
      <name val="Calibri"/>
      <family val="2"/>
    </font>
    <font>
      <sz val="10.5"/>
      <color rgb="FFFFFFFF"/>
      <name val="Calibri"/>
      <family val="2"/>
    </font>
    <font>
      <b/>
      <u/>
      <sz val="11"/>
      <name val="Arial"/>
      <family val="2"/>
    </font>
    <font>
      <sz val="11"/>
      <name val="Arial"/>
      <family val="2"/>
    </font>
    <font>
      <b/>
      <sz val="11"/>
      <name val="Calibri"/>
      <family val="2"/>
      <scheme val="minor"/>
    </font>
    <font>
      <sz val="11"/>
      <name val="Calibri"/>
      <family val="2"/>
      <scheme val="minor"/>
    </font>
    <font>
      <sz val="11"/>
      <color theme="1"/>
      <name val="Calibri"/>
      <family val="2"/>
    </font>
    <font>
      <b/>
      <sz val="11"/>
      <color theme="1"/>
      <name val="Calibri"/>
      <family val="2"/>
    </font>
    <font>
      <b/>
      <sz val="11"/>
      <name val="Calibri"/>
      <family val="2"/>
    </font>
    <font>
      <b/>
      <sz val="11"/>
      <color rgb="FF000000"/>
      <name val="Calibri"/>
    </font>
    <font>
      <sz val="11"/>
      <color rgb="FF000000"/>
      <name val="Calibri"/>
    </font>
    <font>
      <sz val="9"/>
      <color theme="1"/>
      <name val="Times New Roman"/>
      <family val="1"/>
    </font>
    <font>
      <i/>
      <sz val="10"/>
      <color theme="1"/>
      <name val="Calibri"/>
      <family val="2"/>
    </font>
    <font>
      <i/>
      <sz val="8.5"/>
      <color rgb="FF000000"/>
      <name val="Verdana"/>
      <family val="2"/>
    </font>
    <font>
      <i/>
      <sz val="8"/>
      <color rgb="FF000000"/>
      <name val="Verdana"/>
      <family val="2"/>
    </font>
  </fonts>
  <fills count="9">
    <fill>
      <patternFill patternType="none"/>
    </fill>
    <fill>
      <patternFill patternType="gray125"/>
    </fill>
    <fill>
      <patternFill patternType="solid">
        <fgColor theme="9"/>
        <bgColor rgb="FF000000"/>
      </patternFill>
    </fill>
    <fill>
      <patternFill patternType="solid">
        <fgColor theme="4" tint="-0.249977111117893"/>
        <bgColor rgb="FF000000"/>
      </patternFill>
    </fill>
    <fill>
      <patternFill patternType="solid">
        <fgColor rgb="FF70AD47"/>
        <bgColor rgb="FF70AD47"/>
      </patternFill>
    </fill>
    <fill>
      <patternFill patternType="solid">
        <fgColor rgb="FFD9E2F3"/>
        <bgColor indexed="64"/>
      </patternFill>
    </fill>
    <fill>
      <patternFill patternType="solid">
        <fgColor rgb="FF44546A"/>
        <bgColor indexed="64"/>
      </patternFill>
    </fill>
    <fill>
      <patternFill patternType="solid">
        <fgColor theme="9" tint="0.79998168889431442"/>
        <bgColor indexed="64"/>
      </patternFill>
    </fill>
    <fill>
      <patternFill patternType="solid">
        <fgColor rgb="FFFFFF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diagonal/>
    </border>
    <border>
      <left style="thin">
        <color rgb="FF000000"/>
      </left>
      <right/>
      <top/>
      <bottom/>
      <diagonal/>
    </border>
    <border>
      <left/>
      <right style="thin">
        <color rgb="FF000000"/>
      </right>
      <top style="thin">
        <color rgb="FF000000"/>
      </top>
      <bottom/>
      <diagonal/>
    </border>
    <border>
      <left/>
      <right/>
      <top style="thin">
        <color rgb="FF000000"/>
      </top>
      <bottom/>
      <diagonal/>
    </border>
    <border>
      <left style="thin">
        <color rgb="FF000000"/>
      </left>
      <right/>
      <top style="thin">
        <color rgb="FF000000"/>
      </top>
      <bottom/>
      <diagonal/>
    </border>
    <border>
      <left/>
      <right/>
      <top style="thin">
        <color indexed="64"/>
      </top>
      <bottom/>
      <diagonal/>
    </border>
    <border>
      <left/>
      <right style="medium">
        <color indexed="64"/>
      </right>
      <top/>
      <bottom style="medium">
        <color indexed="64"/>
      </bottom>
      <diagonal/>
    </border>
  </borders>
  <cellStyleXfs count="1">
    <xf numFmtId="0" fontId="0" fillId="0" borderId="0"/>
  </cellStyleXfs>
  <cellXfs count="57">
    <xf numFmtId="0" fontId="0" fillId="0" borderId="0" xfId="0"/>
    <xf numFmtId="0" fontId="0" fillId="0" borderId="0" xfId="0" applyAlignment="1">
      <alignment horizontal="right"/>
    </xf>
    <xf numFmtId="0" fontId="2" fillId="0" borderId="0" xfId="0" applyFont="1" applyAlignment="1">
      <alignment vertical="center" wrapText="1"/>
    </xf>
    <xf numFmtId="0" fontId="3" fillId="0" borderId="0" xfId="0" applyFont="1"/>
    <xf numFmtId="0" fontId="4" fillId="0" borderId="0" xfId="0" applyFont="1" applyAlignment="1">
      <alignment vertical="center"/>
    </xf>
    <xf numFmtId="0" fontId="1" fillId="3" borderId="2" xfId="0" applyFont="1" applyFill="1" applyBorder="1" applyAlignment="1">
      <alignment horizontal="left" vertical="top" wrapText="1"/>
    </xf>
    <xf numFmtId="0" fontId="5" fillId="0" borderId="0" xfId="0" applyFont="1"/>
    <xf numFmtId="0" fontId="6" fillId="0" borderId="0" xfId="0" applyFont="1" applyAlignment="1">
      <alignment horizontal="left"/>
    </xf>
    <xf numFmtId="0" fontId="6" fillId="0" borderId="0" xfId="0" applyFont="1"/>
    <xf numFmtId="0" fontId="0" fillId="0" borderId="0" xfId="0" applyAlignment="1">
      <alignment horizontal="left"/>
    </xf>
    <xf numFmtId="0" fontId="5" fillId="0" borderId="0" xfId="0" quotePrefix="1" applyFont="1"/>
    <xf numFmtId="0" fontId="1" fillId="3" borderId="2" xfId="0" applyFont="1" applyFill="1" applyBorder="1" applyAlignment="1" applyProtection="1">
      <alignment horizontal="left" vertical="top" wrapText="1"/>
      <protection locked="0"/>
    </xf>
    <xf numFmtId="0" fontId="1" fillId="2" borderId="1" xfId="0" applyFont="1" applyFill="1" applyBorder="1" applyAlignment="1">
      <alignment vertical="top" wrapText="1"/>
    </xf>
    <xf numFmtId="0" fontId="1" fillId="2" borderId="1" xfId="0" applyFont="1" applyFill="1" applyBorder="1" applyAlignment="1">
      <alignment vertical="top"/>
    </xf>
    <xf numFmtId="0" fontId="1" fillId="2" borderId="1" xfId="0" applyFont="1" applyFill="1" applyBorder="1" applyAlignment="1">
      <alignment horizontal="left" vertical="top" wrapText="1"/>
    </xf>
    <xf numFmtId="0" fontId="1" fillId="2" borderId="1" xfId="0" applyFont="1" applyFill="1" applyBorder="1" applyAlignment="1">
      <alignment horizontal="left" vertical="top"/>
    </xf>
    <xf numFmtId="0" fontId="1" fillId="4" borderId="3" xfId="0" quotePrefix="1" applyFont="1" applyFill="1" applyBorder="1" applyAlignment="1">
      <alignment horizontal="left" vertical="top" wrapText="1"/>
    </xf>
    <xf numFmtId="0" fontId="1" fillId="4" borderId="4" xfId="0" applyFont="1" applyFill="1" applyBorder="1" applyAlignment="1">
      <alignment horizontal="left" vertical="top" wrapText="1"/>
    </xf>
    <xf numFmtId="0" fontId="1" fillId="4" borderId="5" xfId="0" applyFont="1" applyFill="1" applyBorder="1" applyAlignment="1">
      <alignment horizontal="left" vertical="top" wrapText="1"/>
    </xf>
    <xf numFmtId="0" fontId="1" fillId="2" borderId="2" xfId="0" applyFont="1" applyFill="1" applyBorder="1" applyAlignment="1">
      <alignment horizontal="left" vertical="top" wrapText="1"/>
    </xf>
    <xf numFmtId="0" fontId="7" fillId="0" borderId="0" xfId="0" applyFont="1" applyAlignment="1">
      <alignment vertical="center" wrapText="1"/>
    </xf>
    <xf numFmtId="0" fontId="11" fillId="0" borderId="6" xfId="0" applyFont="1" applyBorder="1" applyAlignment="1">
      <alignment horizontal="center" vertical="center" wrapText="1"/>
    </xf>
    <xf numFmtId="0" fontId="12" fillId="0" borderId="7" xfId="0" applyFont="1" applyBorder="1" applyAlignment="1">
      <alignment horizontal="center" vertical="center" wrapText="1"/>
    </xf>
    <xf numFmtId="0" fontId="12" fillId="0" borderId="8" xfId="0" applyFont="1" applyBorder="1" applyAlignment="1">
      <alignment horizontal="justify" vertical="center" wrapText="1"/>
    </xf>
    <xf numFmtId="0" fontId="11" fillId="5" borderId="9" xfId="0" applyFont="1" applyFill="1" applyBorder="1" applyAlignment="1">
      <alignment horizontal="center" vertical="center" wrapText="1"/>
    </xf>
    <xf numFmtId="0" fontId="12" fillId="5" borderId="0" xfId="0" applyFont="1" applyFill="1" applyAlignment="1">
      <alignment horizontal="center" vertical="center" wrapText="1"/>
    </xf>
    <xf numFmtId="0" fontId="12" fillId="5" borderId="10" xfId="0" applyFont="1" applyFill="1" applyBorder="1" applyAlignment="1">
      <alignment horizontal="justify" vertical="center" wrapText="1"/>
    </xf>
    <xf numFmtId="0" fontId="11" fillId="0" borderId="9" xfId="0" applyFont="1" applyBorder="1" applyAlignment="1">
      <alignment horizontal="center" vertical="center" wrapText="1"/>
    </xf>
    <xf numFmtId="0" fontId="12" fillId="0" borderId="0" xfId="0" applyFont="1" applyAlignment="1">
      <alignment horizontal="center" vertical="center" wrapText="1"/>
    </xf>
    <xf numFmtId="0" fontId="12" fillId="0" borderId="10" xfId="0" applyFont="1" applyBorder="1" applyAlignment="1">
      <alignment horizontal="justify" vertical="center" wrapText="1"/>
    </xf>
    <xf numFmtId="0" fontId="13" fillId="6" borderId="11" xfId="0" applyFont="1" applyFill="1" applyBorder="1" applyAlignment="1">
      <alignment horizontal="center" vertical="center" wrapText="1"/>
    </xf>
    <xf numFmtId="0" fontId="13" fillId="6" borderId="12" xfId="0" applyFont="1" applyFill="1" applyBorder="1" applyAlignment="1">
      <alignment horizontal="center" vertical="center" wrapText="1"/>
    </xf>
    <xf numFmtId="0" fontId="13" fillId="6" borderId="13" xfId="0" applyFont="1" applyFill="1" applyBorder="1" applyAlignment="1">
      <alignment horizontal="justify" vertical="center" wrapText="1"/>
    </xf>
    <xf numFmtId="0" fontId="7" fillId="0" borderId="0" xfId="0" applyFont="1" applyAlignment="1">
      <alignment horizontal="left" vertical="center" wrapText="1"/>
    </xf>
    <xf numFmtId="0" fontId="18" fillId="0" borderId="0" xfId="0" applyFont="1" applyAlignment="1">
      <alignment horizontal="left" vertical="center" wrapText="1"/>
    </xf>
    <xf numFmtId="0" fontId="19" fillId="0" borderId="0" xfId="0" applyFont="1"/>
    <xf numFmtId="0" fontId="20" fillId="0" borderId="0" xfId="0" applyFont="1"/>
    <xf numFmtId="0" fontId="19" fillId="0" borderId="0" xfId="0" applyFont="1" applyAlignment="1">
      <alignment wrapText="1"/>
    </xf>
    <xf numFmtId="0" fontId="17" fillId="7" borderId="0" xfId="0" applyFont="1" applyFill="1" applyAlignment="1">
      <alignment horizontal="left" vertical="center" wrapText="1"/>
    </xf>
    <xf numFmtId="0" fontId="20" fillId="7" borderId="0" xfId="0" applyFont="1" applyFill="1"/>
    <xf numFmtId="0" fontId="3" fillId="7" borderId="0" xfId="0" applyFont="1" applyFill="1"/>
    <xf numFmtId="0" fontId="21" fillId="7" borderId="0" xfId="0" applyFont="1" applyFill="1" applyAlignment="1">
      <alignment horizontal="left" vertical="center" wrapText="1"/>
    </xf>
    <xf numFmtId="0" fontId="12" fillId="0" borderId="14" xfId="0" applyFont="1" applyBorder="1" applyAlignment="1">
      <alignment horizontal="justify" vertical="center" wrapText="1"/>
    </xf>
    <xf numFmtId="0" fontId="12" fillId="0" borderId="0" xfId="0" applyFont="1" applyAlignment="1">
      <alignment horizontal="justify" vertical="center" wrapText="1"/>
    </xf>
    <xf numFmtId="0" fontId="0" fillId="0" borderId="0" xfId="0" applyProtection="1">
      <protection locked="0"/>
    </xf>
    <xf numFmtId="0" fontId="24" fillId="0" borderId="15" xfId="0" applyFont="1" applyBorder="1" applyAlignment="1">
      <alignment vertical="center" wrapText="1"/>
    </xf>
    <xf numFmtId="0" fontId="1" fillId="3" borderId="0" xfId="0" applyFont="1" applyFill="1" applyBorder="1" applyAlignment="1" applyProtection="1">
      <alignment horizontal="left" vertical="top" wrapText="1"/>
      <protection locked="0"/>
    </xf>
    <xf numFmtId="0" fontId="25" fillId="8" borderId="0" xfId="0" applyFont="1" applyFill="1" applyAlignment="1">
      <alignment horizontal="left"/>
    </xf>
    <xf numFmtId="0" fontId="25" fillId="8" borderId="0" xfId="0" applyFont="1" applyFill="1"/>
    <xf numFmtId="0" fontId="26" fillId="8" borderId="0" xfId="0" applyFont="1" applyFill="1" applyAlignment="1">
      <alignment vertical="center"/>
    </xf>
    <xf numFmtId="0" fontId="27" fillId="8" borderId="0" xfId="0" applyFont="1" applyFill="1" applyAlignment="1">
      <alignment vertical="center"/>
    </xf>
    <xf numFmtId="0" fontId="0" fillId="8" borderId="0" xfId="0" applyFill="1"/>
    <xf numFmtId="0" fontId="8" fillId="0" borderId="0" xfId="0" applyFont="1" applyAlignment="1">
      <alignment horizontal="left" wrapText="1"/>
    </xf>
    <xf numFmtId="0" fontId="10" fillId="0" borderId="0" xfId="0" applyFont="1" applyAlignment="1">
      <alignment horizontal="center"/>
    </xf>
    <xf numFmtId="0" fontId="23" fillId="0" borderId="0" xfId="0" applyFont="1" applyAlignment="1">
      <alignment horizontal="left" vertical="center" wrapText="1"/>
    </xf>
    <xf numFmtId="0" fontId="7" fillId="0" borderId="0" xfId="0" applyFont="1" applyAlignment="1">
      <alignment horizontal="left" vertical="center" wrapText="1"/>
    </xf>
    <xf numFmtId="0" fontId="0" fillId="0" borderId="0" xfId="0"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pascal\Documents\huidig%20wagenpak%201-202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ekkers"/>
      <sheetName val="opleggers"/>
    </sheetNames>
    <sheetDataSet>
      <sheetData sheetId="0" refreshError="1">
        <row r="2">
          <cell r="B2" t="str">
            <v>09-BLN-8</v>
          </cell>
        </row>
        <row r="3">
          <cell r="B3" t="str">
            <v>41-BLP-1</v>
          </cell>
        </row>
        <row r="4">
          <cell r="B4" t="str">
            <v>33-BNJ-3</v>
          </cell>
        </row>
        <row r="5">
          <cell r="B5" t="str">
            <v>BZ-TH-25</v>
          </cell>
        </row>
        <row r="6">
          <cell r="B6" t="str">
            <v>BZ-VD-79</v>
          </cell>
        </row>
        <row r="7">
          <cell r="B7" t="str">
            <v>18-BDL-7</v>
          </cell>
        </row>
        <row r="8">
          <cell r="B8" t="str">
            <v>10-BGP-3</v>
          </cell>
        </row>
        <row r="9">
          <cell r="B9" t="str">
            <v>47-BGP-3</v>
          </cell>
        </row>
        <row r="10">
          <cell r="B10" t="str">
            <v>86-BGP-5</v>
          </cell>
        </row>
        <row r="11">
          <cell r="B11" t="str">
            <v>45-BGP-6</v>
          </cell>
        </row>
        <row r="12">
          <cell r="B12" t="str">
            <v>95-BGP-8</v>
          </cell>
        </row>
        <row r="13">
          <cell r="B13" t="str">
            <v>19-BGP-8</v>
          </cell>
        </row>
        <row r="14">
          <cell r="B14" t="str">
            <v>16-BDL-9</v>
          </cell>
        </row>
        <row r="15">
          <cell r="B15" t="str">
            <v>21-BDL-9</v>
          </cell>
        </row>
        <row r="16">
          <cell r="B16" t="str">
            <v>24-BDL-9</v>
          </cell>
        </row>
        <row r="17">
          <cell r="B17" t="str">
            <v>45-BDZ-2</v>
          </cell>
        </row>
        <row r="18">
          <cell r="B18" t="str">
            <v>57-BHK-2</v>
          </cell>
        </row>
        <row r="19">
          <cell r="B19" t="str">
            <v>12-BLN-8</v>
          </cell>
        </row>
        <row r="20">
          <cell r="B20" t="str">
            <v>1-HKF-730</v>
          </cell>
        </row>
        <row r="21">
          <cell r="B21" t="str">
            <v>64-BNT-1</v>
          </cell>
        </row>
        <row r="22">
          <cell r="B22" t="str">
            <v>20-BPK-7</v>
          </cell>
        </row>
        <row r="23">
          <cell r="B23" t="str">
            <v>73-BNG-2</v>
          </cell>
        </row>
        <row r="24">
          <cell r="B24" t="str">
            <v>45-BNT-1</v>
          </cell>
        </row>
        <row r="25">
          <cell r="B25" t="str">
            <v>61-BKZ-3</v>
          </cell>
        </row>
        <row r="26">
          <cell r="B26" t="str">
            <v>70-BLB-7</v>
          </cell>
        </row>
        <row r="27">
          <cell r="B27" t="str">
            <v>1-UMV-440</v>
          </cell>
        </row>
        <row r="28">
          <cell r="B28" t="str">
            <v>1-VKW-114</v>
          </cell>
        </row>
        <row r="29">
          <cell r="B29" t="str">
            <v>1-VKY-154</v>
          </cell>
        </row>
        <row r="30">
          <cell r="B30" t="str">
            <v>1-VNC-251</v>
          </cell>
        </row>
        <row r="31">
          <cell r="B31" t="str">
            <v>1-WAZ-403</v>
          </cell>
        </row>
        <row r="32">
          <cell r="B32" t="str">
            <v>1-WXX-546</v>
          </cell>
        </row>
        <row r="33">
          <cell r="B33" t="str">
            <v>1-WXX-570</v>
          </cell>
        </row>
        <row r="34">
          <cell r="B34" t="str">
            <v>1-XDR-883</v>
          </cell>
        </row>
        <row r="35">
          <cell r="B35" t="str">
            <v>33-BDF-6</v>
          </cell>
        </row>
        <row r="36">
          <cell r="B36" t="str">
            <v>31-BNX-9</v>
          </cell>
        </row>
        <row r="37">
          <cell r="B37" t="str">
            <v>41-BNZ-1</v>
          </cell>
        </row>
        <row r="38">
          <cell r="B38" t="str">
            <v>47-BRJ-3</v>
          </cell>
        </row>
        <row r="39">
          <cell r="B39" t="str">
            <v>35-BRJ-4</v>
          </cell>
        </row>
        <row r="40">
          <cell r="B40" t="str">
            <v>10-BTJ-8</v>
          </cell>
        </row>
        <row r="41">
          <cell r="B41" t="str">
            <v>47-BRN-8</v>
          </cell>
        </row>
        <row r="42">
          <cell r="B42" t="str">
            <v>61-BRP-5</v>
          </cell>
        </row>
        <row r="43">
          <cell r="B43" t="str">
            <v>45-BRS-5</v>
          </cell>
        </row>
        <row r="44">
          <cell r="B44" t="str">
            <v>22-BSN-5</v>
          </cell>
        </row>
        <row r="45">
          <cell r="B45" t="str">
            <v>27-BSP-1</v>
          </cell>
        </row>
        <row r="46">
          <cell r="B46" t="str">
            <v>08-BTJ-8</v>
          </cell>
        </row>
        <row r="47">
          <cell r="B47" t="str">
            <v>07-BTJ-8</v>
          </cell>
        </row>
        <row r="48">
          <cell r="B48" t="str">
            <v>63-BJV-1</v>
          </cell>
        </row>
        <row r="49">
          <cell r="B49" t="str">
            <v>BZ-LN-04</v>
          </cell>
        </row>
        <row r="50">
          <cell r="B50" t="str">
            <v>73-BLD-1</v>
          </cell>
        </row>
        <row r="51">
          <cell r="B51" t="str">
            <v>57-BGN-6</v>
          </cell>
        </row>
        <row r="52">
          <cell r="B52" t="str">
            <v>72-BLD-1</v>
          </cell>
        </row>
        <row r="53">
          <cell r="B53" t="str">
            <v>44-BLF-3</v>
          </cell>
        </row>
        <row r="54">
          <cell r="B54" t="str">
            <v>1-CET-011</v>
          </cell>
        </row>
      </sheetData>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K6"/>
  <sheetViews>
    <sheetView workbookViewId="0">
      <selection activeCell="N2" sqref="N2"/>
    </sheetView>
  </sheetViews>
  <sheetFormatPr defaultRowHeight="12.75" x14ac:dyDescent="0.2"/>
  <cols>
    <col min="1" max="1" width="52.28515625" customWidth="1"/>
    <col min="6" max="6" width="10.140625" customWidth="1"/>
  </cols>
  <sheetData>
    <row r="1" spans="1:11" ht="18.75" x14ac:dyDescent="0.3">
      <c r="A1" s="53" t="s">
        <v>0</v>
      </c>
      <c r="B1" s="53"/>
      <c r="C1" s="53"/>
      <c r="D1" s="53"/>
      <c r="E1" s="53"/>
      <c r="F1" s="53"/>
      <c r="G1" s="53"/>
      <c r="H1" s="53"/>
      <c r="I1" s="53"/>
      <c r="J1" s="53"/>
      <c r="K1" s="53"/>
    </row>
    <row r="2" spans="1:11" ht="105.95" customHeight="1" x14ac:dyDescent="0.25">
      <c r="A2" s="52" t="s">
        <v>1</v>
      </c>
      <c r="B2" s="52"/>
      <c r="C2" s="52"/>
      <c r="D2" s="52"/>
      <c r="E2" s="52"/>
      <c r="F2" s="52"/>
      <c r="G2" s="52"/>
      <c r="H2" s="52"/>
      <c r="I2" s="52"/>
      <c r="J2" s="52"/>
      <c r="K2" s="52"/>
    </row>
    <row r="3" spans="1:11" ht="78.599999999999994" customHeight="1" x14ac:dyDescent="0.25">
      <c r="A3" s="52" t="s">
        <v>2</v>
      </c>
      <c r="B3" s="52"/>
      <c r="C3" s="52"/>
      <c r="D3" s="52"/>
      <c r="E3" s="52"/>
      <c r="F3" s="52"/>
      <c r="G3" s="52"/>
      <c r="H3" s="52"/>
      <c r="I3" s="52"/>
      <c r="J3" s="52"/>
      <c r="K3" s="52"/>
    </row>
    <row r="4" spans="1:11" ht="64.5" customHeight="1" x14ac:dyDescent="0.25">
      <c r="A4" s="52" t="s">
        <v>3</v>
      </c>
      <c r="B4" s="52"/>
      <c r="C4" s="52"/>
      <c r="D4" s="52"/>
      <c r="E4" s="52"/>
      <c r="F4" s="52"/>
      <c r="G4" s="52"/>
      <c r="H4" s="52"/>
      <c r="I4" s="52"/>
      <c r="J4" s="52"/>
      <c r="K4" s="52"/>
    </row>
    <row r="5" spans="1:11" s="9" customFormat="1" ht="77.099999999999994" customHeight="1" x14ac:dyDescent="0.2">
      <c r="A5" s="54" t="s">
        <v>4</v>
      </c>
      <c r="B5" s="55"/>
      <c r="C5" s="55"/>
      <c r="D5" s="55"/>
      <c r="E5" s="55"/>
      <c r="F5" s="55"/>
      <c r="G5" s="55"/>
      <c r="H5" s="55"/>
      <c r="I5" s="55"/>
      <c r="J5" s="55"/>
      <c r="K5" s="55"/>
    </row>
    <row r="6" spans="1:11" ht="12.95" customHeight="1" x14ac:dyDescent="0.2">
      <c r="A6" s="20"/>
      <c r="B6" s="20"/>
      <c r="C6" s="20"/>
      <c r="D6" s="20"/>
    </row>
  </sheetData>
  <mergeCells count="5">
    <mergeCell ref="A2:K2"/>
    <mergeCell ref="A1:K1"/>
    <mergeCell ref="A3:K3"/>
    <mergeCell ref="A4:K4"/>
    <mergeCell ref="A5:K5"/>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21"/>
  <sheetViews>
    <sheetView topLeftCell="A13" workbookViewId="0">
      <selection activeCell="E16" sqref="E16"/>
    </sheetView>
  </sheetViews>
  <sheetFormatPr defaultRowHeight="12.75" x14ac:dyDescent="0.2"/>
  <cols>
    <col min="1" max="1" width="51" customWidth="1"/>
    <col min="2" max="2" width="35.7109375" customWidth="1"/>
    <col min="3" max="3" width="17.85546875" customWidth="1"/>
  </cols>
  <sheetData>
    <row r="1" spans="1:4" s="39" customFormat="1" ht="15" x14ac:dyDescent="0.25">
      <c r="A1" s="39" t="s">
        <v>5</v>
      </c>
    </row>
    <row r="2" spans="1:4" ht="17.45" customHeight="1" x14ac:dyDescent="0.25">
      <c r="A2" s="33" t="s">
        <v>6</v>
      </c>
      <c r="B2" s="36" t="s">
        <v>7</v>
      </c>
    </row>
    <row r="3" spans="1:4" ht="15" x14ac:dyDescent="0.25">
      <c r="A3" s="33" t="s">
        <v>8</v>
      </c>
      <c r="B3" s="36" t="s">
        <v>9</v>
      </c>
    </row>
    <row r="4" spans="1:4" s="40" customFormat="1" ht="15" x14ac:dyDescent="0.25">
      <c r="A4" s="41" t="s">
        <v>10</v>
      </c>
      <c r="B4" s="39"/>
    </row>
    <row r="5" spans="1:4" ht="15" x14ac:dyDescent="0.25">
      <c r="A5" s="33" t="s">
        <v>11</v>
      </c>
      <c r="B5" s="36" t="s">
        <v>12</v>
      </c>
    </row>
    <row r="6" spans="1:4" ht="15" x14ac:dyDescent="0.25">
      <c r="A6" s="33" t="s">
        <v>13</v>
      </c>
      <c r="B6" s="36" t="s">
        <v>14</v>
      </c>
    </row>
    <row r="7" spans="1:4" ht="17.45" customHeight="1" x14ac:dyDescent="0.25">
      <c r="A7" s="33" t="s">
        <v>15</v>
      </c>
      <c r="B7" s="36" t="s">
        <v>16</v>
      </c>
    </row>
    <row r="8" spans="1:4" ht="15.6" customHeight="1" x14ac:dyDescent="0.25">
      <c r="A8" s="33" t="s">
        <v>17</v>
      </c>
      <c r="B8" s="36" t="s">
        <v>18</v>
      </c>
    </row>
    <row r="9" spans="1:4" ht="17.100000000000001" customHeight="1" x14ac:dyDescent="0.25">
      <c r="A9" s="33" t="s">
        <v>19</v>
      </c>
      <c r="B9" s="36"/>
    </row>
    <row r="10" spans="1:4" s="40" customFormat="1" ht="15" x14ac:dyDescent="0.25">
      <c r="A10" s="41" t="s">
        <v>20</v>
      </c>
      <c r="B10" s="39"/>
    </row>
    <row r="11" spans="1:4" ht="15" x14ac:dyDescent="0.25">
      <c r="A11" s="33" t="s">
        <v>21</v>
      </c>
      <c r="B11" s="36" t="s">
        <v>22</v>
      </c>
    </row>
    <row r="12" spans="1:4" ht="29.1" customHeight="1" x14ac:dyDescent="0.25">
      <c r="A12" s="33" t="s">
        <v>23</v>
      </c>
      <c r="B12" s="36" t="s">
        <v>24</v>
      </c>
    </row>
    <row r="13" spans="1:4" s="40" customFormat="1" ht="15.6" customHeight="1" x14ac:dyDescent="0.25">
      <c r="A13" s="41" t="s">
        <v>25</v>
      </c>
      <c r="B13" s="39"/>
    </row>
    <row r="14" spans="1:4" ht="24.75" thickBot="1" x14ac:dyDescent="0.3">
      <c r="A14" s="35" t="s">
        <v>26</v>
      </c>
      <c r="B14" s="36" t="s">
        <v>27</v>
      </c>
      <c r="D14" s="45" t="s">
        <v>28</v>
      </c>
    </row>
    <row r="15" spans="1:4" ht="32.450000000000003" customHeight="1" x14ac:dyDescent="0.25">
      <c r="A15" s="37" t="s">
        <v>29</v>
      </c>
      <c r="B15" s="36" t="s">
        <v>30</v>
      </c>
      <c r="D15" t="s">
        <v>31</v>
      </c>
    </row>
    <row r="16" spans="1:4" ht="45" x14ac:dyDescent="0.25">
      <c r="A16" s="34" t="s">
        <v>32</v>
      </c>
      <c r="B16" s="36" t="s">
        <v>33</v>
      </c>
      <c r="C16" s="36" t="s">
        <v>34</v>
      </c>
      <c r="D16" t="s">
        <v>35</v>
      </c>
    </row>
    <row r="17" spans="1:4" s="40" customFormat="1" ht="15" x14ac:dyDescent="0.25">
      <c r="A17" s="38" t="s">
        <v>36</v>
      </c>
      <c r="B17" s="39"/>
      <c r="C17" s="39"/>
    </row>
    <row r="18" spans="1:4" ht="27.6" customHeight="1" x14ac:dyDescent="0.25">
      <c r="A18" s="37" t="s">
        <v>37</v>
      </c>
      <c r="B18" s="36" t="s">
        <v>38</v>
      </c>
      <c r="D18" t="s">
        <v>35</v>
      </c>
    </row>
    <row r="19" spans="1:4" ht="15" x14ac:dyDescent="0.25">
      <c r="A19" s="35" t="s">
        <v>39</v>
      </c>
      <c r="B19" s="36" t="s">
        <v>40</v>
      </c>
      <c r="D19" t="s">
        <v>41</v>
      </c>
    </row>
    <row r="20" spans="1:4" s="40" customFormat="1" ht="15" x14ac:dyDescent="0.25">
      <c r="A20" s="39" t="s">
        <v>42</v>
      </c>
      <c r="B20" s="39"/>
    </row>
    <row r="21" spans="1:4" ht="57.95" customHeight="1" x14ac:dyDescent="0.25">
      <c r="A21" s="34" t="s">
        <v>43</v>
      </c>
      <c r="B21" s="36" t="s">
        <v>44</v>
      </c>
      <c r="D21" t="s">
        <v>45</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S351"/>
  <sheetViews>
    <sheetView tabSelected="1" workbookViewId="0">
      <pane ySplit="1" topLeftCell="A2" activePane="bottomLeft" state="frozen"/>
      <selection pane="bottomLeft" activeCell="F20" sqref="F20"/>
    </sheetView>
  </sheetViews>
  <sheetFormatPr defaultRowHeight="12.75" x14ac:dyDescent="0.2"/>
  <cols>
    <col min="1" max="1" width="13.7109375" customWidth="1"/>
    <col min="2" max="2" width="21.42578125" customWidth="1"/>
    <col min="3" max="4" width="9.7109375" customWidth="1"/>
    <col min="5" max="5" width="9.42578125" customWidth="1"/>
    <col min="7" max="7" width="16.5703125" customWidth="1"/>
    <col min="8" max="8" width="16.28515625" customWidth="1"/>
    <col min="9" max="9" width="15.140625" customWidth="1"/>
    <col min="10" max="10" width="14.140625" customWidth="1"/>
    <col min="11" max="11" width="17.85546875" customWidth="1"/>
    <col min="12" max="12" width="15.28515625" customWidth="1"/>
    <col min="13" max="13" width="18.5703125" customWidth="1"/>
    <col min="14" max="14" width="16" customWidth="1"/>
    <col min="15" max="15" width="15.140625" customWidth="1"/>
    <col min="16" max="17" width="17.7109375" customWidth="1"/>
    <col min="18" max="18" width="19.7109375" customWidth="1"/>
    <col min="19" max="19" width="15.85546875" customWidth="1"/>
    <col min="20" max="20" width="8.85546875" customWidth="1"/>
  </cols>
  <sheetData>
    <row r="1" spans="1:19" ht="75" customHeight="1" x14ac:dyDescent="0.2">
      <c r="A1" s="12" t="s">
        <v>46</v>
      </c>
      <c r="B1" s="13" t="s">
        <v>47</v>
      </c>
      <c r="C1" s="13" t="s">
        <v>48</v>
      </c>
      <c r="D1" s="13" t="s">
        <v>49</v>
      </c>
      <c r="E1" s="14" t="s">
        <v>50</v>
      </c>
      <c r="F1" s="15" t="s">
        <v>51</v>
      </c>
      <c r="G1" s="14" t="s">
        <v>52</v>
      </c>
      <c r="H1" s="14" t="s">
        <v>53</v>
      </c>
      <c r="I1" s="14" t="s">
        <v>54</v>
      </c>
      <c r="J1" s="14" t="s">
        <v>55</v>
      </c>
      <c r="K1" s="14" t="s">
        <v>56</v>
      </c>
      <c r="L1" s="14" t="s">
        <v>57</v>
      </c>
      <c r="M1" s="16" t="s">
        <v>58</v>
      </c>
      <c r="N1" s="17" t="s">
        <v>59</v>
      </c>
      <c r="O1" s="18" t="s">
        <v>60</v>
      </c>
      <c r="P1" s="19" t="s">
        <v>61</v>
      </c>
      <c r="Q1" s="11" t="s">
        <v>62</v>
      </c>
      <c r="R1" s="11" t="s">
        <v>63</v>
      </c>
      <c r="S1" s="5" t="s">
        <v>64</v>
      </c>
    </row>
    <row r="2" spans="1:19" s="51" customFormat="1" ht="15.75" x14ac:dyDescent="0.2">
      <c r="A2" s="47" t="s">
        <v>129</v>
      </c>
      <c r="B2" s="48" t="s">
        <v>123</v>
      </c>
      <c r="C2" s="48" t="s">
        <v>66</v>
      </c>
      <c r="D2" s="48">
        <v>6</v>
      </c>
      <c r="E2" s="48">
        <v>2019</v>
      </c>
      <c r="F2" s="48" t="s">
        <v>67</v>
      </c>
      <c r="G2" s="48">
        <v>0</v>
      </c>
      <c r="H2" s="49">
        <v>20000</v>
      </c>
      <c r="I2" s="48">
        <v>200</v>
      </c>
      <c r="J2" s="48">
        <v>220</v>
      </c>
      <c r="K2" s="48" t="s">
        <v>111</v>
      </c>
      <c r="L2" s="48">
        <v>7</v>
      </c>
      <c r="M2" s="50" t="s">
        <v>113</v>
      </c>
      <c r="N2" s="50">
        <v>8</v>
      </c>
      <c r="O2" s="50">
        <v>3</v>
      </c>
      <c r="P2" s="48" t="s">
        <v>128</v>
      </c>
      <c r="Q2" s="46"/>
    </row>
    <row r="3" spans="1:19" ht="14.25" x14ac:dyDescent="0.2">
      <c r="A3" t="str">
        <f>[1]trekkers!B2</f>
        <v>09-BLN-8</v>
      </c>
      <c r="B3" s="42" t="s">
        <v>127</v>
      </c>
      <c r="C3" t="s">
        <v>66</v>
      </c>
      <c r="D3">
        <v>6</v>
      </c>
      <c r="E3" s="44">
        <v>2019</v>
      </c>
      <c r="F3" t="s">
        <v>67</v>
      </c>
      <c r="G3">
        <v>15</v>
      </c>
      <c r="H3">
        <v>100000</v>
      </c>
      <c r="I3">
        <v>400</v>
      </c>
      <c r="J3">
        <v>220</v>
      </c>
      <c r="K3" t="s">
        <v>67</v>
      </c>
      <c r="L3">
        <v>10</v>
      </c>
      <c r="M3" s="4" t="s">
        <v>68</v>
      </c>
      <c r="N3" s="4">
        <v>8</v>
      </c>
      <c r="O3" s="4">
        <v>3</v>
      </c>
      <c r="P3" t="s">
        <v>115</v>
      </c>
      <c r="Q3" s="56"/>
    </row>
    <row r="4" spans="1:19" ht="14.25" x14ac:dyDescent="0.2">
      <c r="A4" t="str">
        <f>[1]trekkers!B3</f>
        <v>41-BLP-1</v>
      </c>
      <c r="B4" s="43" t="s">
        <v>127</v>
      </c>
      <c r="C4" t="s">
        <v>66</v>
      </c>
      <c r="D4">
        <v>6</v>
      </c>
      <c r="E4" s="44">
        <v>2019</v>
      </c>
      <c r="F4" t="s">
        <v>67</v>
      </c>
      <c r="G4">
        <v>15</v>
      </c>
      <c r="H4">
        <v>100000</v>
      </c>
      <c r="I4">
        <v>400</v>
      </c>
      <c r="J4">
        <v>220</v>
      </c>
      <c r="K4" t="s">
        <v>67</v>
      </c>
      <c r="L4">
        <v>10</v>
      </c>
      <c r="M4" s="4" t="s">
        <v>68</v>
      </c>
      <c r="N4" s="4">
        <v>8</v>
      </c>
      <c r="O4" s="4">
        <v>3</v>
      </c>
      <c r="P4" t="s">
        <v>115</v>
      </c>
      <c r="Q4" s="56"/>
    </row>
    <row r="5" spans="1:19" ht="14.25" x14ac:dyDescent="0.2">
      <c r="A5" t="str">
        <f>[1]trekkers!B4</f>
        <v>33-BNJ-3</v>
      </c>
      <c r="B5" s="43" t="s">
        <v>127</v>
      </c>
      <c r="C5" t="s">
        <v>66</v>
      </c>
      <c r="D5">
        <v>6</v>
      </c>
      <c r="E5" s="44">
        <v>2019</v>
      </c>
      <c r="F5" t="s">
        <v>67</v>
      </c>
      <c r="G5">
        <v>15</v>
      </c>
      <c r="H5">
        <v>100000</v>
      </c>
      <c r="I5">
        <v>400</v>
      </c>
      <c r="J5">
        <v>220</v>
      </c>
      <c r="K5" t="s">
        <v>67</v>
      </c>
      <c r="L5">
        <v>10</v>
      </c>
      <c r="M5" s="4" t="s">
        <v>68</v>
      </c>
      <c r="N5" s="4">
        <v>8</v>
      </c>
      <c r="O5" s="4">
        <v>3</v>
      </c>
      <c r="P5" t="s">
        <v>115</v>
      </c>
      <c r="Q5" s="56"/>
    </row>
    <row r="6" spans="1:19" ht="14.25" x14ac:dyDescent="0.2">
      <c r="A6" t="str">
        <f>[1]trekkers!B5</f>
        <v>BZ-TH-25</v>
      </c>
      <c r="B6" s="43" t="s">
        <v>127</v>
      </c>
      <c r="C6" t="s">
        <v>66</v>
      </c>
      <c r="D6">
        <v>5</v>
      </c>
      <c r="E6" s="44">
        <v>2013</v>
      </c>
      <c r="F6" t="s">
        <v>67</v>
      </c>
      <c r="G6">
        <v>15</v>
      </c>
      <c r="H6">
        <v>100000</v>
      </c>
      <c r="I6">
        <v>400</v>
      </c>
      <c r="J6">
        <v>220</v>
      </c>
      <c r="K6" t="s">
        <v>67</v>
      </c>
      <c r="L6">
        <v>10</v>
      </c>
      <c r="M6" s="4" t="s">
        <v>68</v>
      </c>
      <c r="N6" s="4">
        <v>8</v>
      </c>
      <c r="O6" s="4">
        <v>3</v>
      </c>
      <c r="P6" t="s">
        <v>115</v>
      </c>
      <c r="Q6" s="56"/>
    </row>
    <row r="7" spans="1:19" ht="14.25" x14ac:dyDescent="0.2">
      <c r="A7" t="str">
        <f>[1]trekkers!B6</f>
        <v>BZ-VD-79</v>
      </c>
      <c r="B7" s="43" t="s">
        <v>127</v>
      </c>
      <c r="C7" t="s">
        <v>66</v>
      </c>
      <c r="D7">
        <v>5</v>
      </c>
      <c r="E7" s="44">
        <v>2013</v>
      </c>
      <c r="F7" t="s">
        <v>67</v>
      </c>
      <c r="G7">
        <v>15</v>
      </c>
      <c r="H7">
        <v>100000</v>
      </c>
      <c r="I7">
        <v>400</v>
      </c>
      <c r="J7">
        <v>220</v>
      </c>
      <c r="K7" t="s">
        <v>67</v>
      </c>
      <c r="L7">
        <v>10</v>
      </c>
      <c r="M7" s="4" t="s">
        <v>68</v>
      </c>
      <c r="N7" s="4">
        <v>8</v>
      </c>
      <c r="O7" s="4">
        <v>3</v>
      </c>
      <c r="P7" t="s">
        <v>115</v>
      </c>
      <c r="Q7" s="56"/>
    </row>
    <row r="8" spans="1:19" ht="14.25" x14ac:dyDescent="0.2">
      <c r="A8" t="str">
        <f>[1]trekkers!B7</f>
        <v>18-BDL-7</v>
      </c>
      <c r="B8" s="43" t="s">
        <v>127</v>
      </c>
      <c r="C8" t="s">
        <v>66</v>
      </c>
      <c r="D8">
        <v>5</v>
      </c>
      <c r="E8" s="44">
        <v>2014</v>
      </c>
      <c r="F8" t="s">
        <v>67</v>
      </c>
      <c r="G8">
        <v>15</v>
      </c>
      <c r="H8">
        <v>100000</v>
      </c>
      <c r="I8">
        <v>400</v>
      </c>
      <c r="J8">
        <v>220</v>
      </c>
      <c r="K8" t="s">
        <v>67</v>
      </c>
      <c r="L8">
        <v>10</v>
      </c>
      <c r="M8" s="4" t="s">
        <v>68</v>
      </c>
      <c r="N8" s="4">
        <v>8</v>
      </c>
      <c r="O8" s="4">
        <v>3</v>
      </c>
      <c r="P8" t="s">
        <v>115</v>
      </c>
      <c r="Q8" s="56"/>
    </row>
    <row r="9" spans="1:19" ht="14.25" x14ac:dyDescent="0.2">
      <c r="A9" t="str">
        <f>[1]trekkers!B8</f>
        <v>10-BGP-3</v>
      </c>
      <c r="B9" s="43" t="s">
        <v>127</v>
      </c>
      <c r="C9" t="s">
        <v>66</v>
      </c>
      <c r="D9">
        <v>6</v>
      </c>
      <c r="E9" s="44">
        <v>2016</v>
      </c>
      <c r="F9" t="s">
        <v>67</v>
      </c>
      <c r="G9">
        <v>15</v>
      </c>
      <c r="H9">
        <v>100000</v>
      </c>
      <c r="I9">
        <v>400</v>
      </c>
      <c r="J9">
        <v>220</v>
      </c>
      <c r="K9" t="s">
        <v>67</v>
      </c>
      <c r="L9">
        <v>10</v>
      </c>
      <c r="M9" s="4" t="s">
        <v>68</v>
      </c>
      <c r="N9">
        <v>8</v>
      </c>
      <c r="O9" s="4">
        <v>3</v>
      </c>
      <c r="P9" t="s">
        <v>115</v>
      </c>
      <c r="Q9" s="56"/>
    </row>
    <row r="10" spans="1:19" ht="14.25" x14ac:dyDescent="0.2">
      <c r="A10" t="str">
        <f>[1]trekkers!B9</f>
        <v>47-BGP-3</v>
      </c>
      <c r="B10" s="43" t="s">
        <v>127</v>
      </c>
      <c r="C10" t="s">
        <v>66</v>
      </c>
      <c r="D10">
        <v>6</v>
      </c>
      <c r="E10" s="44">
        <v>2016</v>
      </c>
      <c r="F10" t="s">
        <v>67</v>
      </c>
      <c r="G10">
        <v>15</v>
      </c>
      <c r="H10">
        <v>100000</v>
      </c>
      <c r="I10">
        <v>400</v>
      </c>
      <c r="J10">
        <v>220</v>
      </c>
      <c r="K10" t="s">
        <v>67</v>
      </c>
      <c r="L10">
        <v>10</v>
      </c>
      <c r="M10" s="4" t="s">
        <v>68</v>
      </c>
      <c r="N10">
        <v>8</v>
      </c>
      <c r="O10" s="4">
        <v>3</v>
      </c>
      <c r="P10" t="s">
        <v>115</v>
      </c>
      <c r="Q10" s="56"/>
    </row>
    <row r="11" spans="1:19" ht="14.25" x14ac:dyDescent="0.2">
      <c r="A11" t="str">
        <f>[1]trekkers!B10</f>
        <v>86-BGP-5</v>
      </c>
      <c r="B11" s="43" t="s">
        <v>127</v>
      </c>
      <c r="C11" t="s">
        <v>66</v>
      </c>
      <c r="D11">
        <v>6</v>
      </c>
      <c r="E11" s="44">
        <v>2016</v>
      </c>
      <c r="F11" t="s">
        <v>67</v>
      </c>
      <c r="G11">
        <v>15</v>
      </c>
      <c r="H11">
        <v>100000</v>
      </c>
      <c r="I11">
        <v>400</v>
      </c>
      <c r="J11">
        <v>220</v>
      </c>
      <c r="K11" t="s">
        <v>67</v>
      </c>
      <c r="L11">
        <v>10</v>
      </c>
      <c r="M11" t="s">
        <v>68</v>
      </c>
      <c r="N11">
        <v>8</v>
      </c>
      <c r="O11">
        <v>3</v>
      </c>
      <c r="P11" t="s">
        <v>115</v>
      </c>
      <c r="Q11" s="56"/>
    </row>
    <row r="12" spans="1:19" ht="14.25" x14ac:dyDescent="0.2">
      <c r="A12" t="str">
        <f>[1]trekkers!B11</f>
        <v>45-BGP-6</v>
      </c>
      <c r="B12" s="43" t="s">
        <v>127</v>
      </c>
      <c r="C12" t="s">
        <v>66</v>
      </c>
      <c r="D12">
        <v>6</v>
      </c>
      <c r="E12" s="44">
        <v>2016</v>
      </c>
      <c r="F12" t="s">
        <v>67</v>
      </c>
      <c r="G12">
        <v>15</v>
      </c>
      <c r="H12">
        <v>100000</v>
      </c>
      <c r="I12">
        <v>400</v>
      </c>
      <c r="J12">
        <v>220</v>
      </c>
      <c r="K12" t="s">
        <v>67</v>
      </c>
      <c r="L12">
        <v>10</v>
      </c>
      <c r="M12" t="s">
        <v>68</v>
      </c>
      <c r="N12">
        <v>8</v>
      </c>
      <c r="O12">
        <v>3</v>
      </c>
      <c r="P12" t="s">
        <v>115</v>
      </c>
      <c r="Q12" s="56"/>
    </row>
    <row r="13" spans="1:19" ht="14.25" x14ac:dyDescent="0.2">
      <c r="A13" t="str">
        <f>[1]trekkers!B12</f>
        <v>95-BGP-8</v>
      </c>
      <c r="B13" s="43" t="s">
        <v>127</v>
      </c>
      <c r="C13" t="s">
        <v>66</v>
      </c>
      <c r="D13">
        <v>6</v>
      </c>
      <c r="E13" s="44">
        <v>2016</v>
      </c>
      <c r="F13" t="s">
        <v>67</v>
      </c>
      <c r="G13">
        <v>15</v>
      </c>
      <c r="H13">
        <v>100000</v>
      </c>
      <c r="I13">
        <v>400</v>
      </c>
      <c r="J13">
        <v>220</v>
      </c>
      <c r="K13" t="s">
        <v>67</v>
      </c>
      <c r="L13">
        <v>10</v>
      </c>
      <c r="M13" t="s">
        <v>68</v>
      </c>
      <c r="N13">
        <v>8</v>
      </c>
      <c r="O13">
        <v>3</v>
      </c>
      <c r="P13" t="s">
        <v>115</v>
      </c>
      <c r="Q13" s="56"/>
    </row>
    <row r="14" spans="1:19" ht="14.25" x14ac:dyDescent="0.2">
      <c r="A14" t="str">
        <f>[1]trekkers!B13</f>
        <v>19-BGP-8</v>
      </c>
      <c r="B14" s="43" t="s">
        <v>127</v>
      </c>
      <c r="C14" t="s">
        <v>66</v>
      </c>
      <c r="D14">
        <v>6</v>
      </c>
      <c r="E14" s="44">
        <v>2016</v>
      </c>
      <c r="F14" t="s">
        <v>67</v>
      </c>
      <c r="G14">
        <v>15</v>
      </c>
      <c r="H14">
        <v>100000</v>
      </c>
      <c r="I14">
        <v>400</v>
      </c>
      <c r="J14">
        <v>220</v>
      </c>
      <c r="K14" t="s">
        <v>67</v>
      </c>
      <c r="L14">
        <v>10</v>
      </c>
      <c r="M14" t="s">
        <v>68</v>
      </c>
      <c r="N14">
        <v>8</v>
      </c>
      <c r="O14">
        <v>3</v>
      </c>
      <c r="P14" t="s">
        <v>115</v>
      </c>
      <c r="Q14" s="56"/>
    </row>
    <row r="15" spans="1:19" ht="14.25" x14ac:dyDescent="0.2">
      <c r="A15" t="str">
        <f>[1]trekkers!B14</f>
        <v>16-BDL-9</v>
      </c>
      <c r="B15" s="43" t="s">
        <v>127</v>
      </c>
      <c r="C15" t="s">
        <v>66</v>
      </c>
      <c r="D15">
        <v>6</v>
      </c>
      <c r="E15" s="44">
        <v>2014</v>
      </c>
      <c r="F15" t="s">
        <v>67</v>
      </c>
      <c r="G15">
        <v>15</v>
      </c>
      <c r="H15">
        <v>100000</v>
      </c>
      <c r="I15">
        <v>400</v>
      </c>
      <c r="J15">
        <v>220</v>
      </c>
      <c r="K15" t="s">
        <v>67</v>
      </c>
      <c r="L15">
        <v>10</v>
      </c>
      <c r="M15" t="s">
        <v>68</v>
      </c>
      <c r="N15">
        <v>8</v>
      </c>
      <c r="O15">
        <v>3</v>
      </c>
      <c r="P15" t="s">
        <v>115</v>
      </c>
      <c r="Q15" s="56"/>
    </row>
    <row r="16" spans="1:19" ht="14.25" x14ac:dyDescent="0.2">
      <c r="A16" t="str">
        <f>[1]trekkers!B15</f>
        <v>21-BDL-9</v>
      </c>
      <c r="B16" s="43" t="s">
        <v>127</v>
      </c>
      <c r="C16" t="s">
        <v>66</v>
      </c>
      <c r="D16">
        <v>5</v>
      </c>
      <c r="E16" s="44">
        <v>2014</v>
      </c>
      <c r="F16" t="s">
        <v>67</v>
      </c>
      <c r="G16">
        <v>15</v>
      </c>
      <c r="H16">
        <v>100000</v>
      </c>
      <c r="I16">
        <v>400</v>
      </c>
      <c r="J16">
        <v>220</v>
      </c>
      <c r="K16" t="s">
        <v>67</v>
      </c>
      <c r="L16">
        <v>10</v>
      </c>
      <c r="M16" t="s">
        <v>68</v>
      </c>
      <c r="N16">
        <v>8</v>
      </c>
      <c r="O16">
        <v>3</v>
      </c>
      <c r="P16" t="s">
        <v>115</v>
      </c>
      <c r="Q16" s="56"/>
    </row>
    <row r="17" spans="1:17" ht="14.25" x14ac:dyDescent="0.2">
      <c r="A17" t="str">
        <f>[1]trekkers!B16</f>
        <v>24-BDL-9</v>
      </c>
      <c r="B17" s="43" t="s">
        <v>127</v>
      </c>
      <c r="C17" t="s">
        <v>66</v>
      </c>
      <c r="D17">
        <v>5</v>
      </c>
      <c r="E17" s="44">
        <v>2014</v>
      </c>
      <c r="F17" t="s">
        <v>67</v>
      </c>
      <c r="G17">
        <v>15</v>
      </c>
      <c r="H17">
        <v>100000</v>
      </c>
      <c r="I17">
        <v>400</v>
      </c>
      <c r="J17">
        <v>220</v>
      </c>
      <c r="K17" t="s">
        <v>67</v>
      </c>
      <c r="L17">
        <v>10</v>
      </c>
      <c r="M17" t="s">
        <v>68</v>
      </c>
      <c r="N17">
        <v>8</v>
      </c>
      <c r="O17">
        <v>3</v>
      </c>
      <c r="P17" t="s">
        <v>115</v>
      </c>
      <c r="Q17" s="56"/>
    </row>
    <row r="18" spans="1:17" ht="14.25" x14ac:dyDescent="0.2">
      <c r="A18" t="str">
        <f>[1]trekkers!B17</f>
        <v>45-BDZ-2</v>
      </c>
      <c r="B18" s="43" t="s">
        <v>127</v>
      </c>
      <c r="C18" t="s">
        <v>66</v>
      </c>
      <c r="D18">
        <v>6</v>
      </c>
      <c r="E18" s="44">
        <v>2014</v>
      </c>
      <c r="F18" t="s">
        <v>67</v>
      </c>
      <c r="G18">
        <v>15</v>
      </c>
      <c r="H18">
        <v>100000</v>
      </c>
      <c r="I18">
        <v>400</v>
      </c>
      <c r="J18">
        <v>220</v>
      </c>
      <c r="K18" t="s">
        <v>67</v>
      </c>
      <c r="L18">
        <v>10</v>
      </c>
      <c r="M18" t="s">
        <v>68</v>
      </c>
      <c r="N18">
        <v>8</v>
      </c>
      <c r="O18">
        <v>3</v>
      </c>
      <c r="P18" t="s">
        <v>115</v>
      </c>
      <c r="Q18" s="56"/>
    </row>
    <row r="19" spans="1:17" ht="14.25" x14ac:dyDescent="0.2">
      <c r="A19" t="str">
        <f>[1]trekkers!B18</f>
        <v>57-BHK-2</v>
      </c>
      <c r="B19" s="43" t="s">
        <v>127</v>
      </c>
      <c r="C19" t="s">
        <v>66</v>
      </c>
      <c r="D19">
        <v>6</v>
      </c>
      <c r="E19" s="44">
        <v>2016</v>
      </c>
      <c r="F19" t="s">
        <v>67</v>
      </c>
      <c r="G19">
        <v>15</v>
      </c>
      <c r="H19">
        <v>100000</v>
      </c>
      <c r="I19">
        <v>400</v>
      </c>
      <c r="J19">
        <v>220</v>
      </c>
      <c r="K19" t="s">
        <v>67</v>
      </c>
      <c r="L19">
        <v>10</v>
      </c>
      <c r="M19" t="s">
        <v>68</v>
      </c>
      <c r="N19">
        <v>8</v>
      </c>
      <c r="O19">
        <v>3</v>
      </c>
      <c r="P19" t="s">
        <v>115</v>
      </c>
      <c r="Q19" s="56"/>
    </row>
    <row r="20" spans="1:17" ht="14.25" x14ac:dyDescent="0.2">
      <c r="A20" t="str">
        <f>[1]trekkers!B19</f>
        <v>12-BLN-8</v>
      </c>
      <c r="B20" s="43" t="s">
        <v>127</v>
      </c>
      <c r="C20" t="s">
        <v>66</v>
      </c>
      <c r="D20">
        <v>6</v>
      </c>
      <c r="E20" s="44">
        <v>2019</v>
      </c>
      <c r="F20" t="s">
        <v>67</v>
      </c>
      <c r="G20">
        <v>15</v>
      </c>
      <c r="H20">
        <v>100000</v>
      </c>
      <c r="I20">
        <v>400</v>
      </c>
      <c r="J20">
        <v>220</v>
      </c>
      <c r="K20" t="s">
        <v>67</v>
      </c>
      <c r="L20">
        <v>10</v>
      </c>
      <c r="M20" t="s">
        <v>68</v>
      </c>
      <c r="N20">
        <v>8</v>
      </c>
      <c r="O20">
        <v>3</v>
      </c>
      <c r="P20" t="s">
        <v>115</v>
      </c>
      <c r="Q20" s="56"/>
    </row>
    <row r="21" spans="1:17" ht="14.25" x14ac:dyDescent="0.2">
      <c r="A21" t="str">
        <f>[1]trekkers!B20</f>
        <v>1-HKF-730</v>
      </c>
      <c r="B21" s="43" t="s">
        <v>127</v>
      </c>
      <c r="C21" t="s">
        <v>66</v>
      </c>
      <c r="D21">
        <v>6</v>
      </c>
      <c r="E21" s="44">
        <v>2014</v>
      </c>
      <c r="F21" t="s">
        <v>67</v>
      </c>
      <c r="G21">
        <v>15</v>
      </c>
      <c r="H21">
        <v>100000</v>
      </c>
      <c r="I21">
        <v>400</v>
      </c>
      <c r="J21">
        <v>220</v>
      </c>
      <c r="K21" t="s">
        <v>67</v>
      </c>
      <c r="L21">
        <v>10</v>
      </c>
      <c r="M21" t="s">
        <v>68</v>
      </c>
      <c r="N21">
        <v>8</v>
      </c>
      <c r="O21">
        <v>3</v>
      </c>
      <c r="P21" t="s">
        <v>115</v>
      </c>
      <c r="Q21" s="56"/>
    </row>
    <row r="22" spans="1:17" ht="14.25" x14ac:dyDescent="0.2">
      <c r="A22" t="str">
        <f>[1]trekkers!B21</f>
        <v>64-BNT-1</v>
      </c>
      <c r="B22" s="43" t="s">
        <v>127</v>
      </c>
      <c r="C22" t="s">
        <v>66</v>
      </c>
      <c r="D22">
        <v>6</v>
      </c>
      <c r="E22" s="44">
        <v>2019</v>
      </c>
      <c r="F22" t="s">
        <v>67</v>
      </c>
      <c r="G22">
        <v>15</v>
      </c>
      <c r="H22">
        <v>100000</v>
      </c>
      <c r="I22">
        <v>400</v>
      </c>
      <c r="J22">
        <v>220</v>
      </c>
      <c r="K22" t="s">
        <v>67</v>
      </c>
      <c r="L22">
        <v>10</v>
      </c>
      <c r="M22" t="s">
        <v>68</v>
      </c>
      <c r="N22">
        <v>8</v>
      </c>
      <c r="O22">
        <v>3</v>
      </c>
      <c r="P22" t="s">
        <v>115</v>
      </c>
      <c r="Q22" s="56"/>
    </row>
    <row r="23" spans="1:17" ht="14.25" x14ac:dyDescent="0.2">
      <c r="A23" t="str">
        <f>[1]trekkers!B22</f>
        <v>20-BPK-7</v>
      </c>
      <c r="B23" s="43" t="s">
        <v>127</v>
      </c>
      <c r="C23" t="s">
        <v>66</v>
      </c>
      <c r="D23">
        <v>6</v>
      </c>
      <c r="E23" s="44">
        <v>2021</v>
      </c>
      <c r="F23" t="s">
        <v>67</v>
      </c>
      <c r="G23">
        <v>15</v>
      </c>
      <c r="H23">
        <v>100000</v>
      </c>
      <c r="I23">
        <v>400</v>
      </c>
      <c r="J23">
        <v>220</v>
      </c>
      <c r="K23" t="s">
        <v>67</v>
      </c>
      <c r="L23">
        <v>10</v>
      </c>
      <c r="M23" t="s">
        <v>68</v>
      </c>
      <c r="N23">
        <v>8</v>
      </c>
      <c r="O23">
        <v>3</v>
      </c>
      <c r="P23" t="s">
        <v>115</v>
      </c>
      <c r="Q23" s="56"/>
    </row>
    <row r="24" spans="1:17" ht="14.25" x14ac:dyDescent="0.2">
      <c r="A24" t="str">
        <f>[1]trekkers!B23</f>
        <v>73-BNG-2</v>
      </c>
      <c r="B24" s="43" t="s">
        <v>127</v>
      </c>
      <c r="C24" t="s">
        <v>66</v>
      </c>
      <c r="D24">
        <v>6</v>
      </c>
      <c r="E24" s="44">
        <v>2019</v>
      </c>
      <c r="F24" t="s">
        <v>67</v>
      </c>
      <c r="G24">
        <v>15</v>
      </c>
      <c r="H24">
        <v>100000</v>
      </c>
      <c r="I24">
        <v>400</v>
      </c>
      <c r="J24">
        <v>220</v>
      </c>
      <c r="K24" t="s">
        <v>67</v>
      </c>
      <c r="L24">
        <v>10</v>
      </c>
      <c r="M24" t="s">
        <v>68</v>
      </c>
      <c r="N24">
        <v>8</v>
      </c>
      <c r="O24">
        <v>3</v>
      </c>
      <c r="P24" t="s">
        <v>115</v>
      </c>
      <c r="Q24" s="56"/>
    </row>
    <row r="25" spans="1:17" ht="14.25" x14ac:dyDescent="0.2">
      <c r="A25" t="str">
        <f>[1]trekkers!B24</f>
        <v>45-BNT-1</v>
      </c>
      <c r="B25" s="43" t="s">
        <v>127</v>
      </c>
      <c r="C25" t="s">
        <v>66</v>
      </c>
      <c r="D25">
        <v>6</v>
      </c>
      <c r="E25" s="44">
        <v>2019</v>
      </c>
      <c r="F25" t="s">
        <v>67</v>
      </c>
      <c r="G25">
        <v>15</v>
      </c>
      <c r="H25">
        <v>100000</v>
      </c>
      <c r="I25">
        <v>400</v>
      </c>
      <c r="J25">
        <v>220</v>
      </c>
      <c r="K25" t="s">
        <v>67</v>
      </c>
      <c r="L25">
        <v>10</v>
      </c>
      <c r="M25" t="s">
        <v>68</v>
      </c>
      <c r="N25">
        <v>8</v>
      </c>
      <c r="O25">
        <v>3</v>
      </c>
      <c r="P25" t="s">
        <v>115</v>
      </c>
      <c r="Q25" s="56"/>
    </row>
    <row r="26" spans="1:17" ht="14.25" x14ac:dyDescent="0.2">
      <c r="A26" t="str">
        <f>[1]trekkers!B25</f>
        <v>61-BKZ-3</v>
      </c>
      <c r="B26" s="43" t="s">
        <v>127</v>
      </c>
      <c r="C26" t="s">
        <v>66</v>
      </c>
      <c r="D26">
        <v>6</v>
      </c>
      <c r="E26" s="44">
        <v>2018</v>
      </c>
      <c r="F26" t="s">
        <v>67</v>
      </c>
      <c r="G26">
        <v>15</v>
      </c>
      <c r="H26">
        <v>100000</v>
      </c>
      <c r="I26">
        <v>400</v>
      </c>
      <c r="J26">
        <v>220</v>
      </c>
      <c r="K26" t="s">
        <v>67</v>
      </c>
      <c r="L26">
        <v>10</v>
      </c>
      <c r="M26" t="s">
        <v>68</v>
      </c>
      <c r="N26">
        <v>8</v>
      </c>
      <c r="O26">
        <v>3</v>
      </c>
      <c r="P26" t="s">
        <v>115</v>
      </c>
      <c r="Q26" s="56"/>
    </row>
    <row r="27" spans="1:17" ht="14.25" x14ac:dyDescent="0.2">
      <c r="A27" t="str">
        <f>[1]trekkers!B26</f>
        <v>70-BLB-7</v>
      </c>
      <c r="B27" s="43" t="s">
        <v>127</v>
      </c>
      <c r="C27" t="s">
        <v>66</v>
      </c>
      <c r="D27">
        <v>6</v>
      </c>
      <c r="E27" s="44">
        <v>2018</v>
      </c>
      <c r="F27" t="s">
        <v>67</v>
      </c>
      <c r="G27">
        <v>15</v>
      </c>
      <c r="H27">
        <v>100000</v>
      </c>
      <c r="I27">
        <v>400</v>
      </c>
      <c r="J27">
        <v>220</v>
      </c>
      <c r="K27" t="s">
        <v>67</v>
      </c>
      <c r="L27">
        <v>10</v>
      </c>
      <c r="M27" t="s">
        <v>68</v>
      </c>
      <c r="N27">
        <v>8</v>
      </c>
      <c r="O27">
        <v>3</v>
      </c>
      <c r="P27" t="s">
        <v>115</v>
      </c>
      <c r="Q27" s="56"/>
    </row>
    <row r="28" spans="1:17" ht="14.25" x14ac:dyDescent="0.2">
      <c r="A28" t="str">
        <f>[1]trekkers!B27</f>
        <v>1-UMV-440</v>
      </c>
      <c r="B28" s="43" t="s">
        <v>127</v>
      </c>
      <c r="C28" t="s">
        <v>66</v>
      </c>
      <c r="D28">
        <v>6</v>
      </c>
      <c r="E28">
        <v>2018</v>
      </c>
      <c r="F28" t="s">
        <v>67</v>
      </c>
      <c r="G28">
        <v>15</v>
      </c>
      <c r="H28">
        <v>100000</v>
      </c>
      <c r="I28">
        <v>400</v>
      </c>
      <c r="J28">
        <v>220</v>
      </c>
      <c r="K28" t="s">
        <v>67</v>
      </c>
      <c r="L28">
        <v>10</v>
      </c>
      <c r="M28" t="s">
        <v>68</v>
      </c>
      <c r="N28">
        <v>8</v>
      </c>
      <c r="O28">
        <v>3</v>
      </c>
      <c r="P28" t="s">
        <v>115</v>
      </c>
      <c r="Q28" s="56"/>
    </row>
    <row r="29" spans="1:17" ht="14.25" x14ac:dyDescent="0.2">
      <c r="A29" t="str">
        <f>[1]trekkers!B28</f>
        <v>1-VKW-114</v>
      </c>
      <c r="B29" s="43" t="s">
        <v>127</v>
      </c>
      <c r="C29" t="s">
        <v>66</v>
      </c>
      <c r="D29">
        <v>6</v>
      </c>
      <c r="E29">
        <v>2018</v>
      </c>
      <c r="F29" t="s">
        <v>67</v>
      </c>
      <c r="G29">
        <v>15</v>
      </c>
      <c r="H29">
        <v>100000</v>
      </c>
      <c r="I29">
        <v>400</v>
      </c>
      <c r="J29">
        <v>220</v>
      </c>
      <c r="K29" t="s">
        <v>67</v>
      </c>
      <c r="L29">
        <v>10</v>
      </c>
      <c r="M29" t="s">
        <v>68</v>
      </c>
      <c r="N29">
        <v>8</v>
      </c>
      <c r="O29">
        <v>3</v>
      </c>
      <c r="P29" t="s">
        <v>115</v>
      </c>
      <c r="Q29" s="56"/>
    </row>
    <row r="30" spans="1:17" ht="14.25" x14ac:dyDescent="0.2">
      <c r="A30" t="str">
        <f>[1]trekkers!B29</f>
        <v>1-VKY-154</v>
      </c>
      <c r="B30" s="43" t="s">
        <v>127</v>
      </c>
      <c r="C30" t="s">
        <v>66</v>
      </c>
      <c r="D30">
        <v>6</v>
      </c>
      <c r="E30">
        <v>2018</v>
      </c>
      <c r="F30" t="s">
        <v>67</v>
      </c>
      <c r="G30">
        <v>15</v>
      </c>
      <c r="H30">
        <v>100000</v>
      </c>
      <c r="I30">
        <v>400</v>
      </c>
      <c r="J30">
        <v>220</v>
      </c>
      <c r="K30" t="s">
        <v>67</v>
      </c>
      <c r="L30">
        <v>10</v>
      </c>
      <c r="M30" t="s">
        <v>68</v>
      </c>
      <c r="N30">
        <v>8</v>
      </c>
      <c r="O30">
        <v>3</v>
      </c>
      <c r="P30" t="s">
        <v>115</v>
      </c>
      <c r="Q30" s="56"/>
    </row>
    <row r="31" spans="1:17" ht="14.25" x14ac:dyDescent="0.2">
      <c r="A31" t="str">
        <f>[1]trekkers!B30</f>
        <v>1-VNC-251</v>
      </c>
      <c r="B31" s="43" t="s">
        <v>127</v>
      </c>
      <c r="C31" t="s">
        <v>66</v>
      </c>
      <c r="D31">
        <v>6</v>
      </c>
      <c r="E31">
        <v>2019</v>
      </c>
      <c r="F31" t="s">
        <v>67</v>
      </c>
      <c r="G31">
        <v>15</v>
      </c>
      <c r="H31">
        <v>100000</v>
      </c>
      <c r="I31">
        <v>400</v>
      </c>
      <c r="J31">
        <v>220</v>
      </c>
      <c r="K31" t="s">
        <v>67</v>
      </c>
      <c r="L31">
        <v>10</v>
      </c>
      <c r="M31" t="s">
        <v>68</v>
      </c>
      <c r="N31">
        <v>8</v>
      </c>
      <c r="O31">
        <v>3</v>
      </c>
      <c r="P31" t="s">
        <v>115</v>
      </c>
      <c r="Q31" s="56"/>
    </row>
    <row r="32" spans="1:17" ht="14.25" x14ac:dyDescent="0.2">
      <c r="A32" t="str">
        <f>[1]trekkers!B31</f>
        <v>1-WAZ-403</v>
      </c>
      <c r="B32" s="43" t="s">
        <v>127</v>
      </c>
      <c r="C32" t="s">
        <v>66</v>
      </c>
      <c r="D32">
        <v>6</v>
      </c>
      <c r="E32">
        <v>2019</v>
      </c>
      <c r="F32" t="s">
        <v>67</v>
      </c>
      <c r="G32">
        <v>15</v>
      </c>
      <c r="H32">
        <v>100000</v>
      </c>
      <c r="I32">
        <v>400</v>
      </c>
      <c r="J32">
        <v>220</v>
      </c>
      <c r="K32" t="s">
        <v>67</v>
      </c>
      <c r="L32">
        <v>10</v>
      </c>
      <c r="M32" t="s">
        <v>68</v>
      </c>
      <c r="N32">
        <v>8</v>
      </c>
      <c r="O32">
        <v>3</v>
      </c>
      <c r="P32" t="s">
        <v>115</v>
      </c>
      <c r="Q32" s="56"/>
    </row>
    <row r="33" spans="1:17" ht="14.25" x14ac:dyDescent="0.2">
      <c r="A33" t="str">
        <f>[1]trekkers!B32</f>
        <v>1-WXX-546</v>
      </c>
      <c r="B33" s="43" t="s">
        <v>127</v>
      </c>
      <c r="C33" t="s">
        <v>66</v>
      </c>
      <c r="D33">
        <v>6</v>
      </c>
      <c r="E33">
        <v>2019</v>
      </c>
      <c r="F33" t="s">
        <v>67</v>
      </c>
      <c r="G33">
        <v>15</v>
      </c>
      <c r="H33">
        <v>100000</v>
      </c>
      <c r="I33">
        <v>400</v>
      </c>
      <c r="J33">
        <v>220</v>
      </c>
      <c r="K33" t="s">
        <v>67</v>
      </c>
      <c r="L33">
        <v>10</v>
      </c>
      <c r="M33" t="s">
        <v>68</v>
      </c>
      <c r="N33">
        <v>8</v>
      </c>
      <c r="O33">
        <v>3</v>
      </c>
      <c r="P33" t="s">
        <v>115</v>
      </c>
      <c r="Q33" s="56"/>
    </row>
    <row r="34" spans="1:17" ht="14.25" x14ac:dyDescent="0.2">
      <c r="A34" t="str">
        <f>[1]trekkers!B33</f>
        <v>1-WXX-570</v>
      </c>
      <c r="B34" s="43" t="s">
        <v>127</v>
      </c>
      <c r="C34" t="s">
        <v>66</v>
      </c>
      <c r="D34">
        <v>6</v>
      </c>
      <c r="E34">
        <v>2019</v>
      </c>
      <c r="F34" t="s">
        <v>67</v>
      </c>
      <c r="G34">
        <v>15</v>
      </c>
      <c r="H34">
        <v>100000</v>
      </c>
      <c r="I34">
        <v>400</v>
      </c>
      <c r="J34">
        <v>220</v>
      </c>
      <c r="K34" t="s">
        <v>67</v>
      </c>
      <c r="L34">
        <v>10</v>
      </c>
      <c r="M34" t="s">
        <v>68</v>
      </c>
      <c r="N34">
        <v>8</v>
      </c>
      <c r="O34">
        <v>3</v>
      </c>
      <c r="P34" t="s">
        <v>115</v>
      </c>
      <c r="Q34" s="56"/>
    </row>
    <row r="35" spans="1:17" ht="14.25" x14ac:dyDescent="0.2">
      <c r="A35" t="str">
        <f>[1]trekkers!B34</f>
        <v>1-XDR-883</v>
      </c>
      <c r="B35" s="43" t="s">
        <v>127</v>
      </c>
      <c r="C35" t="s">
        <v>66</v>
      </c>
      <c r="D35">
        <v>6</v>
      </c>
      <c r="E35">
        <v>2019</v>
      </c>
      <c r="F35" t="s">
        <v>67</v>
      </c>
      <c r="G35">
        <v>15</v>
      </c>
      <c r="H35">
        <v>100000</v>
      </c>
      <c r="I35">
        <v>400</v>
      </c>
      <c r="J35">
        <v>220</v>
      </c>
      <c r="K35" t="s">
        <v>67</v>
      </c>
      <c r="L35">
        <v>10</v>
      </c>
      <c r="M35" t="s">
        <v>68</v>
      </c>
      <c r="N35">
        <v>8</v>
      </c>
      <c r="O35">
        <v>3</v>
      </c>
      <c r="P35" t="s">
        <v>115</v>
      </c>
      <c r="Q35" s="56"/>
    </row>
    <row r="36" spans="1:17" ht="14.25" x14ac:dyDescent="0.2">
      <c r="A36" t="str">
        <f>[1]trekkers!B35</f>
        <v>33-BDF-6</v>
      </c>
      <c r="B36" s="43" t="s">
        <v>127</v>
      </c>
      <c r="C36" t="s">
        <v>66</v>
      </c>
      <c r="D36">
        <v>6</v>
      </c>
      <c r="E36">
        <v>2013</v>
      </c>
      <c r="F36" t="s">
        <v>67</v>
      </c>
      <c r="G36">
        <v>15</v>
      </c>
      <c r="H36">
        <v>100000</v>
      </c>
      <c r="I36">
        <v>400</v>
      </c>
      <c r="J36">
        <v>220</v>
      </c>
      <c r="K36" t="s">
        <v>67</v>
      </c>
      <c r="L36">
        <v>10</v>
      </c>
      <c r="M36" t="s">
        <v>68</v>
      </c>
      <c r="N36">
        <v>8</v>
      </c>
      <c r="O36">
        <v>3</v>
      </c>
      <c r="P36" t="s">
        <v>115</v>
      </c>
      <c r="Q36" s="56"/>
    </row>
    <row r="37" spans="1:17" ht="14.25" x14ac:dyDescent="0.2">
      <c r="A37" t="str">
        <f>[1]trekkers!B36</f>
        <v>31-BNX-9</v>
      </c>
      <c r="B37" s="43" t="s">
        <v>127</v>
      </c>
      <c r="C37" t="s">
        <v>66</v>
      </c>
      <c r="D37">
        <v>6</v>
      </c>
      <c r="E37">
        <v>2019</v>
      </c>
      <c r="F37" t="s">
        <v>67</v>
      </c>
      <c r="G37">
        <v>15</v>
      </c>
      <c r="H37">
        <v>100000</v>
      </c>
      <c r="I37">
        <v>400</v>
      </c>
      <c r="J37">
        <v>220</v>
      </c>
      <c r="K37" t="s">
        <v>67</v>
      </c>
      <c r="L37">
        <v>10</v>
      </c>
      <c r="M37" t="s">
        <v>68</v>
      </c>
      <c r="N37">
        <v>8</v>
      </c>
      <c r="O37">
        <v>3</v>
      </c>
      <c r="P37" t="s">
        <v>115</v>
      </c>
      <c r="Q37" s="56"/>
    </row>
    <row r="38" spans="1:17" ht="14.25" x14ac:dyDescent="0.2">
      <c r="A38" t="str">
        <f>[1]trekkers!B37</f>
        <v>41-BNZ-1</v>
      </c>
      <c r="B38" s="43" t="s">
        <v>127</v>
      </c>
      <c r="C38" t="s">
        <v>66</v>
      </c>
      <c r="D38">
        <v>6</v>
      </c>
      <c r="E38">
        <v>2019</v>
      </c>
      <c r="F38" t="s">
        <v>67</v>
      </c>
      <c r="G38">
        <v>15</v>
      </c>
      <c r="H38">
        <v>100000</v>
      </c>
      <c r="I38">
        <v>400</v>
      </c>
      <c r="J38">
        <v>220</v>
      </c>
      <c r="K38" t="s">
        <v>67</v>
      </c>
      <c r="L38">
        <v>10</v>
      </c>
      <c r="M38" t="s">
        <v>68</v>
      </c>
      <c r="N38">
        <v>8</v>
      </c>
      <c r="O38">
        <v>3</v>
      </c>
      <c r="P38" t="s">
        <v>115</v>
      </c>
      <c r="Q38" s="56"/>
    </row>
    <row r="39" spans="1:17" ht="14.25" x14ac:dyDescent="0.2">
      <c r="A39" t="str">
        <f>[1]trekkers!B38</f>
        <v>47-BRJ-3</v>
      </c>
      <c r="B39" s="43" t="s">
        <v>127</v>
      </c>
      <c r="C39" t="s">
        <v>66</v>
      </c>
      <c r="D39">
        <v>6</v>
      </c>
      <c r="E39">
        <v>2021</v>
      </c>
      <c r="F39" t="s">
        <v>67</v>
      </c>
      <c r="G39">
        <v>15</v>
      </c>
      <c r="H39">
        <v>100000</v>
      </c>
      <c r="I39">
        <v>400</v>
      </c>
      <c r="J39">
        <v>220</v>
      </c>
      <c r="K39" t="s">
        <v>67</v>
      </c>
      <c r="L39">
        <v>10</v>
      </c>
      <c r="M39" t="s">
        <v>68</v>
      </c>
      <c r="N39">
        <v>8</v>
      </c>
      <c r="O39">
        <v>3</v>
      </c>
      <c r="P39" t="s">
        <v>115</v>
      </c>
      <c r="Q39" s="56"/>
    </row>
    <row r="40" spans="1:17" ht="14.25" x14ac:dyDescent="0.2">
      <c r="A40" t="str">
        <f>[1]trekkers!B39</f>
        <v>35-BRJ-4</v>
      </c>
      <c r="B40" s="43" t="s">
        <v>127</v>
      </c>
      <c r="C40" t="s">
        <v>66</v>
      </c>
      <c r="D40">
        <v>6</v>
      </c>
      <c r="E40">
        <v>2021</v>
      </c>
      <c r="F40" t="s">
        <v>67</v>
      </c>
      <c r="G40">
        <v>15</v>
      </c>
      <c r="H40">
        <v>100000</v>
      </c>
      <c r="I40">
        <v>400</v>
      </c>
      <c r="J40">
        <v>220</v>
      </c>
      <c r="K40" t="s">
        <v>67</v>
      </c>
      <c r="L40">
        <v>10</v>
      </c>
      <c r="M40" t="s">
        <v>68</v>
      </c>
      <c r="N40">
        <v>8</v>
      </c>
      <c r="O40">
        <v>3</v>
      </c>
      <c r="P40" t="s">
        <v>128</v>
      </c>
      <c r="Q40" s="56"/>
    </row>
    <row r="41" spans="1:17" ht="14.25" x14ac:dyDescent="0.2">
      <c r="A41" t="str">
        <f>[1]trekkers!B40</f>
        <v>10-BTJ-8</v>
      </c>
      <c r="B41" s="43" t="s">
        <v>127</v>
      </c>
      <c r="C41" t="s">
        <v>66</v>
      </c>
      <c r="D41">
        <v>6</v>
      </c>
      <c r="E41">
        <v>2022</v>
      </c>
      <c r="F41" t="s">
        <v>67</v>
      </c>
      <c r="G41">
        <v>15</v>
      </c>
      <c r="H41">
        <v>100000</v>
      </c>
      <c r="I41">
        <v>400</v>
      </c>
      <c r="J41">
        <v>220</v>
      </c>
      <c r="K41" t="s">
        <v>67</v>
      </c>
      <c r="L41">
        <v>10</v>
      </c>
      <c r="M41" t="s">
        <v>68</v>
      </c>
      <c r="N41">
        <v>8</v>
      </c>
      <c r="O41">
        <v>3</v>
      </c>
      <c r="P41" t="s">
        <v>128</v>
      </c>
      <c r="Q41" s="56"/>
    </row>
    <row r="42" spans="1:17" ht="14.25" x14ac:dyDescent="0.2">
      <c r="A42" t="str">
        <f>[1]trekkers!B41</f>
        <v>47-BRN-8</v>
      </c>
      <c r="B42" s="43" t="s">
        <v>127</v>
      </c>
      <c r="C42" t="s">
        <v>66</v>
      </c>
      <c r="D42">
        <v>6</v>
      </c>
      <c r="E42">
        <v>2021</v>
      </c>
      <c r="F42" t="s">
        <v>67</v>
      </c>
      <c r="G42">
        <v>15</v>
      </c>
      <c r="H42">
        <v>100000</v>
      </c>
      <c r="I42">
        <v>400</v>
      </c>
      <c r="J42">
        <v>220</v>
      </c>
      <c r="K42" t="s">
        <v>67</v>
      </c>
      <c r="L42">
        <v>10</v>
      </c>
      <c r="M42" t="s">
        <v>68</v>
      </c>
      <c r="N42">
        <v>8</v>
      </c>
      <c r="O42">
        <v>3</v>
      </c>
      <c r="P42" t="s">
        <v>128</v>
      </c>
      <c r="Q42" s="56"/>
    </row>
    <row r="43" spans="1:17" ht="14.25" x14ac:dyDescent="0.2">
      <c r="A43" t="str">
        <f>[1]trekkers!B42</f>
        <v>61-BRP-5</v>
      </c>
      <c r="B43" s="43" t="s">
        <v>127</v>
      </c>
      <c r="C43" t="s">
        <v>66</v>
      </c>
      <c r="D43">
        <v>6</v>
      </c>
      <c r="E43">
        <v>2021</v>
      </c>
      <c r="F43" t="s">
        <v>67</v>
      </c>
      <c r="G43">
        <v>15</v>
      </c>
      <c r="H43">
        <v>100000</v>
      </c>
      <c r="I43">
        <v>400</v>
      </c>
      <c r="J43">
        <v>220</v>
      </c>
      <c r="K43" t="s">
        <v>67</v>
      </c>
      <c r="L43">
        <v>10</v>
      </c>
      <c r="M43" t="s">
        <v>68</v>
      </c>
      <c r="N43">
        <v>8</v>
      </c>
      <c r="O43">
        <v>3</v>
      </c>
      <c r="P43" t="s">
        <v>128</v>
      </c>
      <c r="Q43" s="56"/>
    </row>
    <row r="44" spans="1:17" ht="14.25" x14ac:dyDescent="0.2">
      <c r="A44" t="str">
        <f>[1]trekkers!B43</f>
        <v>45-BRS-5</v>
      </c>
      <c r="B44" s="43" t="s">
        <v>127</v>
      </c>
      <c r="C44" t="s">
        <v>66</v>
      </c>
      <c r="D44">
        <v>6</v>
      </c>
      <c r="E44">
        <v>2021</v>
      </c>
      <c r="F44" t="s">
        <v>67</v>
      </c>
      <c r="G44">
        <v>15</v>
      </c>
      <c r="H44">
        <v>100000</v>
      </c>
      <c r="I44">
        <v>400</v>
      </c>
      <c r="J44">
        <v>220</v>
      </c>
      <c r="K44" t="s">
        <v>67</v>
      </c>
      <c r="L44">
        <v>10</v>
      </c>
      <c r="M44" t="s">
        <v>68</v>
      </c>
      <c r="N44">
        <v>8</v>
      </c>
      <c r="O44">
        <v>3</v>
      </c>
      <c r="P44" t="s">
        <v>128</v>
      </c>
      <c r="Q44" s="56"/>
    </row>
    <row r="45" spans="1:17" ht="14.25" x14ac:dyDescent="0.2">
      <c r="A45" t="str">
        <f>[1]trekkers!B44</f>
        <v>22-BSN-5</v>
      </c>
      <c r="B45" s="43" t="s">
        <v>127</v>
      </c>
      <c r="C45" t="s">
        <v>66</v>
      </c>
      <c r="D45">
        <v>6</v>
      </c>
      <c r="E45">
        <v>2022</v>
      </c>
      <c r="F45" t="s">
        <v>67</v>
      </c>
      <c r="G45">
        <v>15</v>
      </c>
      <c r="H45">
        <v>100000</v>
      </c>
      <c r="I45">
        <v>400</v>
      </c>
      <c r="J45">
        <v>220</v>
      </c>
      <c r="K45" t="s">
        <v>67</v>
      </c>
      <c r="L45">
        <v>10</v>
      </c>
      <c r="M45" t="s">
        <v>68</v>
      </c>
      <c r="N45">
        <v>8</v>
      </c>
      <c r="O45">
        <v>3</v>
      </c>
      <c r="P45" t="s">
        <v>128</v>
      </c>
      <c r="Q45" s="56"/>
    </row>
    <row r="46" spans="1:17" ht="14.25" x14ac:dyDescent="0.2">
      <c r="A46" t="str">
        <f>[1]trekkers!B45</f>
        <v>27-BSP-1</v>
      </c>
      <c r="B46" s="43" t="s">
        <v>127</v>
      </c>
      <c r="C46" t="s">
        <v>66</v>
      </c>
      <c r="D46">
        <v>6</v>
      </c>
      <c r="E46">
        <v>2022</v>
      </c>
      <c r="F46" t="s">
        <v>67</v>
      </c>
      <c r="G46">
        <v>15</v>
      </c>
      <c r="H46">
        <v>100000</v>
      </c>
      <c r="I46">
        <v>400</v>
      </c>
      <c r="J46">
        <v>220</v>
      </c>
      <c r="K46" t="s">
        <v>67</v>
      </c>
      <c r="L46">
        <v>10</v>
      </c>
      <c r="M46" t="s">
        <v>68</v>
      </c>
      <c r="N46">
        <v>8</v>
      </c>
      <c r="O46">
        <v>3</v>
      </c>
      <c r="P46" t="s">
        <v>128</v>
      </c>
      <c r="Q46" s="56"/>
    </row>
    <row r="47" spans="1:17" ht="14.25" x14ac:dyDescent="0.2">
      <c r="A47" t="str">
        <f>[1]trekkers!B46</f>
        <v>08-BTJ-8</v>
      </c>
      <c r="B47" s="43" t="s">
        <v>127</v>
      </c>
      <c r="C47" t="s">
        <v>66</v>
      </c>
      <c r="D47">
        <v>6</v>
      </c>
      <c r="E47">
        <v>2022</v>
      </c>
      <c r="F47" t="s">
        <v>67</v>
      </c>
      <c r="G47">
        <v>15</v>
      </c>
      <c r="H47">
        <v>100000</v>
      </c>
      <c r="I47">
        <v>400</v>
      </c>
      <c r="J47">
        <v>220</v>
      </c>
      <c r="K47" t="s">
        <v>67</v>
      </c>
      <c r="L47">
        <v>10</v>
      </c>
      <c r="M47" t="s">
        <v>68</v>
      </c>
      <c r="N47">
        <v>8</v>
      </c>
      <c r="O47">
        <v>3</v>
      </c>
      <c r="P47" t="s">
        <v>128</v>
      </c>
      <c r="Q47" s="56"/>
    </row>
    <row r="48" spans="1:17" ht="14.25" x14ac:dyDescent="0.2">
      <c r="A48" t="str">
        <f>[1]trekkers!B47</f>
        <v>07-BTJ-8</v>
      </c>
      <c r="B48" s="43" t="s">
        <v>127</v>
      </c>
      <c r="C48" t="s">
        <v>66</v>
      </c>
      <c r="D48">
        <v>6</v>
      </c>
      <c r="E48">
        <v>2022</v>
      </c>
      <c r="F48" t="s">
        <v>67</v>
      </c>
      <c r="G48">
        <v>15</v>
      </c>
      <c r="H48">
        <v>100000</v>
      </c>
      <c r="I48">
        <v>400</v>
      </c>
      <c r="J48">
        <v>220</v>
      </c>
      <c r="K48" t="s">
        <v>67</v>
      </c>
      <c r="L48">
        <v>10</v>
      </c>
      <c r="M48" t="s">
        <v>68</v>
      </c>
      <c r="N48">
        <v>8</v>
      </c>
      <c r="O48">
        <v>3</v>
      </c>
      <c r="P48" t="s">
        <v>128</v>
      </c>
      <c r="Q48" s="56"/>
    </row>
    <row r="49" spans="1:17" ht="14.25" x14ac:dyDescent="0.2">
      <c r="A49" t="str">
        <f>[1]trekkers!B48</f>
        <v>63-BJV-1</v>
      </c>
      <c r="B49" s="43" t="s">
        <v>127</v>
      </c>
      <c r="C49" t="s">
        <v>66</v>
      </c>
      <c r="D49">
        <v>6</v>
      </c>
      <c r="E49">
        <v>2017</v>
      </c>
      <c r="F49" t="s">
        <v>67</v>
      </c>
      <c r="G49">
        <v>15</v>
      </c>
      <c r="H49">
        <v>100000</v>
      </c>
      <c r="I49">
        <v>400</v>
      </c>
      <c r="J49">
        <v>220</v>
      </c>
      <c r="K49" t="s">
        <v>67</v>
      </c>
      <c r="L49">
        <v>10</v>
      </c>
      <c r="M49" t="s">
        <v>68</v>
      </c>
      <c r="N49">
        <v>8</v>
      </c>
      <c r="O49">
        <v>3</v>
      </c>
      <c r="P49" t="s">
        <v>128</v>
      </c>
      <c r="Q49" s="56"/>
    </row>
    <row r="50" spans="1:17" ht="14.25" x14ac:dyDescent="0.2">
      <c r="A50" t="str">
        <f>[1]trekkers!B49</f>
        <v>BZ-LN-04</v>
      </c>
      <c r="B50" s="43" t="s">
        <v>127</v>
      </c>
      <c r="C50" t="s">
        <v>66</v>
      </c>
      <c r="D50">
        <v>5</v>
      </c>
      <c r="E50">
        <v>2013</v>
      </c>
      <c r="F50" t="s">
        <v>67</v>
      </c>
      <c r="G50">
        <v>15</v>
      </c>
      <c r="H50">
        <v>100000</v>
      </c>
      <c r="I50">
        <v>400</v>
      </c>
      <c r="J50">
        <v>220</v>
      </c>
      <c r="K50" t="s">
        <v>67</v>
      </c>
      <c r="L50">
        <v>10</v>
      </c>
      <c r="M50" t="s">
        <v>68</v>
      </c>
      <c r="N50">
        <v>8</v>
      </c>
      <c r="O50">
        <v>3</v>
      </c>
      <c r="P50" t="s">
        <v>128</v>
      </c>
      <c r="Q50" s="56"/>
    </row>
    <row r="51" spans="1:17" ht="14.25" x14ac:dyDescent="0.2">
      <c r="A51" t="str">
        <f>[1]trekkers!B50</f>
        <v>73-BLD-1</v>
      </c>
      <c r="B51" s="43" t="s">
        <v>127</v>
      </c>
      <c r="C51" t="s">
        <v>66</v>
      </c>
      <c r="D51">
        <v>6</v>
      </c>
      <c r="E51">
        <v>2018</v>
      </c>
      <c r="F51" t="s">
        <v>67</v>
      </c>
      <c r="G51">
        <v>15</v>
      </c>
      <c r="H51">
        <v>100000</v>
      </c>
      <c r="I51">
        <v>400</v>
      </c>
      <c r="J51">
        <v>220</v>
      </c>
      <c r="K51" t="s">
        <v>67</v>
      </c>
      <c r="L51">
        <v>10</v>
      </c>
      <c r="M51" t="s">
        <v>68</v>
      </c>
      <c r="N51">
        <v>8</v>
      </c>
      <c r="O51">
        <v>3</v>
      </c>
      <c r="P51" t="s">
        <v>128</v>
      </c>
      <c r="Q51" s="56"/>
    </row>
    <row r="52" spans="1:17" ht="14.25" x14ac:dyDescent="0.2">
      <c r="A52" t="str">
        <f>[1]trekkers!B51</f>
        <v>57-BGN-6</v>
      </c>
      <c r="B52" s="43" t="s">
        <v>127</v>
      </c>
      <c r="C52" t="s">
        <v>66</v>
      </c>
      <c r="D52">
        <v>6</v>
      </c>
      <c r="E52">
        <v>2015</v>
      </c>
      <c r="F52" t="s">
        <v>67</v>
      </c>
      <c r="G52">
        <v>15</v>
      </c>
      <c r="H52">
        <v>100000</v>
      </c>
      <c r="I52">
        <v>400</v>
      </c>
      <c r="J52">
        <v>220</v>
      </c>
      <c r="K52" t="s">
        <v>67</v>
      </c>
      <c r="L52">
        <v>10</v>
      </c>
      <c r="M52" t="s">
        <v>68</v>
      </c>
      <c r="N52">
        <v>8</v>
      </c>
      <c r="O52">
        <v>3</v>
      </c>
      <c r="P52" t="s">
        <v>128</v>
      </c>
      <c r="Q52" s="56"/>
    </row>
    <row r="53" spans="1:17" ht="14.25" x14ac:dyDescent="0.2">
      <c r="A53" t="str">
        <f>[1]trekkers!B52</f>
        <v>72-BLD-1</v>
      </c>
      <c r="B53" s="43" t="s">
        <v>127</v>
      </c>
      <c r="C53" t="s">
        <v>66</v>
      </c>
      <c r="D53">
        <v>6</v>
      </c>
      <c r="E53">
        <v>2018</v>
      </c>
      <c r="F53" t="s">
        <v>67</v>
      </c>
      <c r="G53">
        <v>15</v>
      </c>
      <c r="H53">
        <v>100000</v>
      </c>
      <c r="I53">
        <v>400</v>
      </c>
      <c r="J53">
        <v>220</v>
      </c>
      <c r="K53" t="s">
        <v>67</v>
      </c>
      <c r="L53">
        <v>10</v>
      </c>
      <c r="M53" t="s">
        <v>68</v>
      </c>
      <c r="N53">
        <v>8</v>
      </c>
      <c r="O53">
        <v>3</v>
      </c>
      <c r="P53" t="s">
        <v>128</v>
      </c>
      <c r="Q53" s="56"/>
    </row>
    <row r="54" spans="1:17" ht="14.25" x14ac:dyDescent="0.2">
      <c r="A54" t="str">
        <f>[1]trekkers!B53</f>
        <v>44-BLF-3</v>
      </c>
      <c r="B54" s="43" t="s">
        <v>127</v>
      </c>
      <c r="C54" t="s">
        <v>66</v>
      </c>
      <c r="D54">
        <v>6</v>
      </c>
      <c r="E54">
        <v>2018</v>
      </c>
      <c r="F54" t="s">
        <v>67</v>
      </c>
      <c r="G54">
        <v>15</v>
      </c>
      <c r="H54">
        <v>100000</v>
      </c>
      <c r="I54">
        <v>400</v>
      </c>
      <c r="J54">
        <v>220</v>
      </c>
      <c r="K54" t="s">
        <v>67</v>
      </c>
      <c r="L54">
        <v>10</v>
      </c>
      <c r="M54" t="s">
        <v>68</v>
      </c>
      <c r="N54">
        <v>8</v>
      </c>
      <c r="O54">
        <v>3</v>
      </c>
      <c r="P54" t="s">
        <v>128</v>
      </c>
      <c r="Q54" s="56"/>
    </row>
    <row r="55" spans="1:17" ht="14.25" x14ac:dyDescent="0.2">
      <c r="A55" t="str">
        <f>[1]trekkers!B54</f>
        <v>1-CET-011</v>
      </c>
      <c r="B55" s="43" t="s">
        <v>127</v>
      </c>
      <c r="C55" t="s">
        <v>66</v>
      </c>
      <c r="D55">
        <v>5</v>
      </c>
      <c r="E55">
        <v>2013</v>
      </c>
      <c r="F55" t="s">
        <v>67</v>
      </c>
      <c r="G55">
        <v>15</v>
      </c>
      <c r="H55">
        <v>100000</v>
      </c>
      <c r="I55">
        <v>400</v>
      </c>
      <c r="J55">
        <v>220</v>
      </c>
      <c r="K55" t="s">
        <v>67</v>
      </c>
      <c r="L55">
        <v>10</v>
      </c>
      <c r="M55" t="s">
        <v>68</v>
      </c>
      <c r="N55">
        <v>8</v>
      </c>
      <c r="O55">
        <v>3</v>
      </c>
      <c r="P55" t="s">
        <v>128</v>
      </c>
      <c r="Q55" s="56"/>
    </row>
    <row r="56" spans="1:17" x14ac:dyDescent="0.2">
      <c r="Q56" s="56"/>
    </row>
    <row r="57" spans="1:17" x14ac:dyDescent="0.2">
      <c r="Q57" s="56"/>
    </row>
    <row r="58" spans="1:17" x14ac:dyDescent="0.2">
      <c r="Q58" s="56"/>
    </row>
    <row r="59" spans="1:17" x14ac:dyDescent="0.2">
      <c r="Q59" s="56"/>
    </row>
    <row r="60" spans="1:17" x14ac:dyDescent="0.2">
      <c r="Q60" s="56"/>
    </row>
    <row r="61" spans="1:17" x14ac:dyDescent="0.2">
      <c r="Q61" s="56"/>
    </row>
    <row r="62" spans="1:17" x14ac:dyDescent="0.2">
      <c r="Q62" s="56"/>
    </row>
    <row r="63" spans="1:17" x14ac:dyDescent="0.2">
      <c r="Q63" s="56"/>
    </row>
    <row r="64" spans="1:17" x14ac:dyDescent="0.2">
      <c r="Q64" s="56"/>
    </row>
    <row r="65" spans="17:17" x14ac:dyDescent="0.2">
      <c r="Q65" s="56"/>
    </row>
    <row r="66" spans="17:17" x14ac:dyDescent="0.2">
      <c r="Q66" s="56"/>
    </row>
    <row r="67" spans="17:17" x14ac:dyDescent="0.2">
      <c r="Q67" s="56"/>
    </row>
    <row r="68" spans="17:17" x14ac:dyDescent="0.2">
      <c r="Q68" s="56"/>
    </row>
    <row r="69" spans="17:17" x14ac:dyDescent="0.2">
      <c r="Q69" s="56"/>
    </row>
    <row r="70" spans="17:17" x14ac:dyDescent="0.2">
      <c r="Q70" s="56"/>
    </row>
    <row r="71" spans="17:17" x14ac:dyDescent="0.2">
      <c r="Q71" s="56"/>
    </row>
    <row r="72" spans="17:17" x14ac:dyDescent="0.2">
      <c r="Q72" s="56"/>
    </row>
    <row r="73" spans="17:17" x14ac:dyDescent="0.2">
      <c r="Q73" s="56"/>
    </row>
    <row r="74" spans="17:17" x14ac:dyDescent="0.2">
      <c r="Q74" s="56"/>
    </row>
    <row r="75" spans="17:17" x14ac:dyDescent="0.2">
      <c r="Q75" s="56"/>
    </row>
    <row r="76" spans="17:17" x14ac:dyDescent="0.2">
      <c r="Q76" s="56"/>
    </row>
    <row r="77" spans="17:17" x14ac:dyDescent="0.2">
      <c r="Q77" s="56"/>
    </row>
    <row r="78" spans="17:17" x14ac:dyDescent="0.2">
      <c r="Q78" s="56"/>
    </row>
    <row r="79" spans="17:17" x14ac:dyDescent="0.2">
      <c r="Q79" s="56"/>
    </row>
    <row r="80" spans="17:17" x14ac:dyDescent="0.2">
      <c r="Q80" s="56"/>
    </row>
    <row r="81" spans="17:17" x14ac:dyDescent="0.2">
      <c r="Q81" s="56"/>
    </row>
    <row r="82" spans="17:17" x14ac:dyDescent="0.2">
      <c r="Q82" s="56"/>
    </row>
    <row r="83" spans="17:17" x14ac:dyDescent="0.2">
      <c r="Q83" s="56"/>
    </row>
    <row r="84" spans="17:17" x14ac:dyDescent="0.2">
      <c r="Q84" s="56"/>
    </row>
    <row r="85" spans="17:17" x14ac:dyDescent="0.2">
      <c r="Q85" s="56"/>
    </row>
    <row r="86" spans="17:17" x14ac:dyDescent="0.2">
      <c r="Q86" s="56"/>
    </row>
    <row r="87" spans="17:17" x14ac:dyDescent="0.2">
      <c r="Q87" s="56"/>
    </row>
    <row r="88" spans="17:17" x14ac:dyDescent="0.2">
      <c r="Q88" s="56"/>
    </row>
    <row r="89" spans="17:17" x14ac:dyDescent="0.2">
      <c r="Q89" s="56"/>
    </row>
    <row r="90" spans="17:17" x14ac:dyDescent="0.2">
      <c r="Q90" s="56"/>
    </row>
    <row r="91" spans="17:17" x14ac:dyDescent="0.2">
      <c r="Q91" s="56"/>
    </row>
    <row r="92" spans="17:17" x14ac:dyDescent="0.2">
      <c r="Q92" s="56"/>
    </row>
    <row r="93" spans="17:17" x14ac:dyDescent="0.2">
      <c r="Q93" s="56"/>
    </row>
    <row r="94" spans="17:17" x14ac:dyDescent="0.2">
      <c r="Q94" s="56"/>
    </row>
    <row r="95" spans="17:17" x14ac:dyDescent="0.2">
      <c r="Q95" s="56"/>
    </row>
    <row r="96" spans="17:17" x14ac:dyDescent="0.2">
      <c r="Q96" s="56"/>
    </row>
    <row r="97" spans="17:17" x14ac:dyDescent="0.2">
      <c r="Q97" s="56"/>
    </row>
    <row r="98" spans="17:17" x14ac:dyDescent="0.2">
      <c r="Q98" s="56"/>
    </row>
    <row r="99" spans="17:17" x14ac:dyDescent="0.2">
      <c r="Q99" s="56"/>
    </row>
    <row r="100" spans="17:17" x14ac:dyDescent="0.2">
      <c r="Q100" s="56"/>
    </row>
    <row r="101" spans="17:17" x14ac:dyDescent="0.2">
      <c r="Q101" s="56"/>
    </row>
    <row r="102" spans="17:17" x14ac:dyDescent="0.2">
      <c r="Q102" s="56"/>
    </row>
    <row r="103" spans="17:17" x14ac:dyDescent="0.2">
      <c r="Q103" s="56"/>
    </row>
    <row r="104" spans="17:17" x14ac:dyDescent="0.2">
      <c r="Q104" s="56"/>
    </row>
    <row r="105" spans="17:17" x14ac:dyDescent="0.2">
      <c r="Q105" s="56"/>
    </row>
    <row r="106" spans="17:17" x14ac:dyDescent="0.2">
      <c r="Q106" s="56"/>
    </row>
    <row r="107" spans="17:17" x14ac:dyDescent="0.2">
      <c r="Q107" s="56"/>
    </row>
    <row r="108" spans="17:17" x14ac:dyDescent="0.2">
      <c r="Q108" s="56"/>
    </row>
    <row r="109" spans="17:17" x14ac:dyDescent="0.2">
      <c r="Q109" s="56"/>
    </row>
    <row r="110" spans="17:17" x14ac:dyDescent="0.2">
      <c r="Q110" s="56"/>
    </row>
    <row r="111" spans="17:17" x14ac:dyDescent="0.2">
      <c r="Q111" s="56"/>
    </row>
    <row r="112" spans="17:17" x14ac:dyDescent="0.2">
      <c r="Q112" s="56"/>
    </row>
    <row r="113" spans="17:17" x14ac:dyDescent="0.2">
      <c r="Q113" s="56"/>
    </row>
    <row r="114" spans="17:17" x14ac:dyDescent="0.2">
      <c r="Q114" s="56"/>
    </row>
    <row r="115" spans="17:17" x14ac:dyDescent="0.2">
      <c r="Q115" s="56"/>
    </row>
    <row r="116" spans="17:17" x14ac:dyDescent="0.2">
      <c r="Q116" s="56"/>
    </row>
    <row r="117" spans="17:17" x14ac:dyDescent="0.2">
      <c r="Q117" s="56"/>
    </row>
    <row r="118" spans="17:17" x14ac:dyDescent="0.2">
      <c r="Q118" s="56"/>
    </row>
    <row r="119" spans="17:17" x14ac:dyDescent="0.2">
      <c r="Q119" s="56"/>
    </row>
    <row r="120" spans="17:17" x14ac:dyDescent="0.2">
      <c r="Q120" s="56"/>
    </row>
    <row r="121" spans="17:17" x14ac:dyDescent="0.2">
      <c r="Q121" s="56"/>
    </row>
    <row r="122" spans="17:17" x14ac:dyDescent="0.2">
      <c r="Q122" s="56"/>
    </row>
    <row r="123" spans="17:17" x14ac:dyDescent="0.2">
      <c r="Q123" s="56"/>
    </row>
    <row r="124" spans="17:17" x14ac:dyDescent="0.2">
      <c r="Q124" s="56"/>
    </row>
    <row r="125" spans="17:17" x14ac:dyDescent="0.2">
      <c r="Q125" s="56"/>
    </row>
    <row r="126" spans="17:17" x14ac:dyDescent="0.2">
      <c r="Q126" s="56"/>
    </row>
    <row r="127" spans="17:17" x14ac:dyDescent="0.2">
      <c r="Q127" s="56"/>
    </row>
    <row r="128" spans="17:17" x14ac:dyDescent="0.2">
      <c r="Q128" s="56"/>
    </row>
    <row r="129" spans="17:17" x14ac:dyDescent="0.2">
      <c r="Q129" s="56"/>
    </row>
    <row r="130" spans="17:17" x14ac:dyDescent="0.2">
      <c r="Q130" s="56"/>
    </row>
    <row r="131" spans="17:17" x14ac:dyDescent="0.2">
      <c r="Q131" s="56"/>
    </row>
    <row r="132" spans="17:17" x14ac:dyDescent="0.2">
      <c r="Q132" s="56"/>
    </row>
    <row r="133" spans="17:17" x14ac:dyDescent="0.2">
      <c r="Q133" s="56"/>
    </row>
    <row r="134" spans="17:17" x14ac:dyDescent="0.2">
      <c r="Q134" s="56"/>
    </row>
    <row r="135" spans="17:17" x14ac:dyDescent="0.2">
      <c r="Q135" s="56"/>
    </row>
    <row r="136" spans="17:17" x14ac:dyDescent="0.2">
      <c r="Q136" s="56"/>
    </row>
    <row r="137" spans="17:17" x14ac:dyDescent="0.2">
      <c r="Q137" s="56"/>
    </row>
    <row r="138" spans="17:17" x14ac:dyDescent="0.2">
      <c r="Q138" s="56"/>
    </row>
    <row r="139" spans="17:17" x14ac:dyDescent="0.2">
      <c r="Q139" s="56"/>
    </row>
    <row r="140" spans="17:17" x14ac:dyDescent="0.2">
      <c r="Q140" s="56"/>
    </row>
    <row r="141" spans="17:17" x14ac:dyDescent="0.2">
      <c r="Q141" s="56"/>
    </row>
    <row r="142" spans="17:17" x14ac:dyDescent="0.2">
      <c r="Q142" s="56"/>
    </row>
    <row r="143" spans="17:17" x14ac:dyDescent="0.2">
      <c r="Q143" s="56"/>
    </row>
    <row r="144" spans="17:17" x14ac:dyDescent="0.2">
      <c r="Q144" s="56"/>
    </row>
    <row r="145" spans="17:17" x14ac:dyDescent="0.2">
      <c r="Q145" s="56"/>
    </row>
    <row r="146" spans="17:17" x14ac:dyDescent="0.2">
      <c r="Q146" s="56"/>
    </row>
    <row r="147" spans="17:17" x14ac:dyDescent="0.2">
      <c r="Q147" s="56"/>
    </row>
    <row r="148" spans="17:17" x14ac:dyDescent="0.2">
      <c r="Q148" s="56"/>
    </row>
    <row r="149" spans="17:17" x14ac:dyDescent="0.2">
      <c r="Q149" s="56"/>
    </row>
    <row r="150" spans="17:17" x14ac:dyDescent="0.2">
      <c r="Q150" s="56"/>
    </row>
    <row r="151" spans="17:17" x14ac:dyDescent="0.2">
      <c r="Q151" s="56"/>
    </row>
    <row r="152" spans="17:17" x14ac:dyDescent="0.2">
      <c r="Q152" s="56"/>
    </row>
    <row r="153" spans="17:17" x14ac:dyDescent="0.2">
      <c r="Q153" s="56"/>
    </row>
    <row r="154" spans="17:17" x14ac:dyDescent="0.2">
      <c r="Q154" s="56"/>
    </row>
    <row r="155" spans="17:17" x14ac:dyDescent="0.2">
      <c r="Q155" s="56"/>
    </row>
    <row r="156" spans="17:17" x14ac:dyDescent="0.2">
      <c r="Q156" s="56"/>
    </row>
    <row r="157" spans="17:17" x14ac:dyDescent="0.2">
      <c r="Q157" s="56"/>
    </row>
    <row r="158" spans="17:17" x14ac:dyDescent="0.2">
      <c r="Q158" s="56"/>
    </row>
    <row r="159" spans="17:17" x14ac:dyDescent="0.2">
      <c r="Q159" s="56"/>
    </row>
    <row r="160" spans="17:17" x14ac:dyDescent="0.2">
      <c r="Q160" s="56"/>
    </row>
    <row r="161" spans="17:17" x14ac:dyDescent="0.2">
      <c r="Q161" s="56"/>
    </row>
    <row r="162" spans="17:17" x14ac:dyDescent="0.2">
      <c r="Q162" s="56"/>
    </row>
    <row r="163" spans="17:17" x14ac:dyDescent="0.2">
      <c r="Q163" s="56"/>
    </row>
    <row r="164" spans="17:17" x14ac:dyDescent="0.2">
      <c r="Q164" s="56"/>
    </row>
    <row r="165" spans="17:17" x14ac:dyDescent="0.2">
      <c r="Q165" s="56"/>
    </row>
    <row r="166" spans="17:17" x14ac:dyDescent="0.2">
      <c r="Q166" s="56"/>
    </row>
    <row r="167" spans="17:17" x14ac:dyDescent="0.2">
      <c r="Q167" s="56"/>
    </row>
    <row r="168" spans="17:17" x14ac:dyDescent="0.2">
      <c r="Q168" s="56"/>
    </row>
    <row r="169" spans="17:17" x14ac:dyDescent="0.2">
      <c r="Q169" s="56"/>
    </row>
    <row r="170" spans="17:17" x14ac:dyDescent="0.2">
      <c r="Q170" s="56"/>
    </row>
    <row r="171" spans="17:17" x14ac:dyDescent="0.2">
      <c r="Q171" s="56"/>
    </row>
    <row r="172" spans="17:17" x14ac:dyDescent="0.2">
      <c r="Q172" s="56"/>
    </row>
    <row r="173" spans="17:17" x14ac:dyDescent="0.2">
      <c r="Q173" s="56"/>
    </row>
    <row r="174" spans="17:17" x14ac:dyDescent="0.2">
      <c r="Q174" s="56"/>
    </row>
    <row r="175" spans="17:17" x14ac:dyDescent="0.2">
      <c r="Q175" s="56"/>
    </row>
    <row r="176" spans="17:17" x14ac:dyDescent="0.2">
      <c r="Q176" s="56"/>
    </row>
    <row r="177" spans="17:17" x14ac:dyDescent="0.2">
      <c r="Q177" s="56"/>
    </row>
    <row r="178" spans="17:17" x14ac:dyDescent="0.2">
      <c r="Q178" s="56"/>
    </row>
    <row r="179" spans="17:17" x14ac:dyDescent="0.2">
      <c r="Q179" s="56"/>
    </row>
    <row r="180" spans="17:17" x14ac:dyDescent="0.2">
      <c r="Q180" s="56"/>
    </row>
    <row r="181" spans="17:17" x14ac:dyDescent="0.2">
      <c r="Q181" s="56"/>
    </row>
    <row r="182" spans="17:17" x14ac:dyDescent="0.2">
      <c r="Q182" s="56"/>
    </row>
    <row r="183" spans="17:17" x14ac:dyDescent="0.2">
      <c r="Q183" s="56"/>
    </row>
    <row r="184" spans="17:17" x14ac:dyDescent="0.2">
      <c r="Q184" s="56"/>
    </row>
    <row r="185" spans="17:17" x14ac:dyDescent="0.2">
      <c r="Q185" s="56"/>
    </row>
    <row r="186" spans="17:17" x14ac:dyDescent="0.2">
      <c r="Q186" s="56"/>
    </row>
    <row r="187" spans="17:17" x14ac:dyDescent="0.2">
      <c r="Q187" s="56"/>
    </row>
    <row r="188" spans="17:17" x14ac:dyDescent="0.2">
      <c r="Q188" s="56"/>
    </row>
    <row r="189" spans="17:17" x14ac:dyDescent="0.2">
      <c r="Q189" s="56"/>
    </row>
    <row r="190" spans="17:17" x14ac:dyDescent="0.2">
      <c r="Q190" s="56"/>
    </row>
    <row r="191" spans="17:17" x14ac:dyDescent="0.2">
      <c r="Q191" s="56"/>
    </row>
    <row r="192" spans="17:17" x14ac:dyDescent="0.2">
      <c r="Q192" s="56"/>
    </row>
    <row r="193" spans="17:17" x14ac:dyDescent="0.2">
      <c r="Q193" s="56"/>
    </row>
    <row r="194" spans="17:17" x14ac:dyDescent="0.2">
      <c r="Q194" s="56"/>
    </row>
    <row r="195" spans="17:17" x14ac:dyDescent="0.2">
      <c r="Q195" s="56"/>
    </row>
    <row r="196" spans="17:17" x14ac:dyDescent="0.2">
      <c r="Q196" s="56"/>
    </row>
    <row r="197" spans="17:17" x14ac:dyDescent="0.2">
      <c r="Q197" s="56"/>
    </row>
    <row r="198" spans="17:17" x14ac:dyDescent="0.2">
      <c r="Q198" s="56"/>
    </row>
    <row r="199" spans="17:17" x14ac:dyDescent="0.2">
      <c r="Q199" s="56"/>
    </row>
    <row r="200" spans="17:17" x14ac:dyDescent="0.2">
      <c r="Q200" s="56"/>
    </row>
    <row r="201" spans="17:17" x14ac:dyDescent="0.2">
      <c r="Q201" s="56"/>
    </row>
    <row r="202" spans="17:17" x14ac:dyDescent="0.2">
      <c r="Q202" s="56"/>
    </row>
    <row r="203" spans="17:17" x14ac:dyDescent="0.2">
      <c r="Q203" s="56"/>
    </row>
    <row r="204" spans="17:17" x14ac:dyDescent="0.2">
      <c r="Q204" s="56"/>
    </row>
    <row r="205" spans="17:17" x14ac:dyDescent="0.2">
      <c r="Q205" s="56"/>
    </row>
    <row r="206" spans="17:17" x14ac:dyDescent="0.2">
      <c r="Q206" s="56"/>
    </row>
    <row r="207" spans="17:17" x14ac:dyDescent="0.2">
      <c r="Q207" s="56"/>
    </row>
    <row r="208" spans="17:17" x14ac:dyDescent="0.2">
      <c r="Q208" s="56"/>
    </row>
    <row r="209" spans="17:17" x14ac:dyDescent="0.2">
      <c r="Q209" s="56"/>
    </row>
    <row r="210" spans="17:17" x14ac:dyDescent="0.2">
      <c r="Q210" s="56"/>
    </row>
    <row r="211" spans="17:17" x14ac:dyDescent="0.2">
      <c r="Q211" s="56"/>
    </row>
    <row r="212" spans="17:17" x14ac:dyDescent="0.2">
      <c r="Q212" s="56"/>
    </row>
    <row r="213" spans="17:17" x14ac:dyDescent="0.2">
      <c r="Q213" s="56"/>
    </row>
    <row r="214" spans="17:17" x14ac:dyDescent="0.2">
      <c r="Q214" s="56"/>
    </row>
    <row r="215" spans="17:17" x14ac:dyDescent="0.2">
      <c r="Q215" s="56"/>
    </row>
    <row r="216" spans="17:17" x14ac:dyDescent="0.2">
      <c r="Q216" s="56"/>
    </row>
    <row r="217" spans="17:17" x14ac:dyDescent="0.2">
      <c r="Q217" s="56"/>
    </row>
    <row r="218" spans="17:17" x14ac:dyDescent="0.2">
      <c r="Q218" s="56"/>
    </row>
    <row r="219" spans="17:17" x14ac:dyDescent="0.2">
      <c r="Q219" s="56"/>
    </row>
    <row r="220" spans="17:17" x14ac:dyDescent="0.2">
      <c r="Q220" s="56"/>
    </row>
    <row r="221" spans="17:17" x14ac:dyDescent="0.2">
      <c r="Q221" s="56"/>
    </row>
    <row r="222" spans="17:17" x14ac:dyDescent="0.2">
      <c r="Q222" s="56"/>
    </row>
    <row r="223" spans="17:17" x14ac:dyDescent="0.2">
      <c r="Q223" s="56"/>
    </row>
    <row r="224" spans="17:17" x14ac:dyDescent="0.2">
      <c r="Q224" s="56"/>
    </row>
    <row r="225" spans="17:17" x14ac:dyDescent="0.2">
      <c r="Q225" s="56"/>
    </row>
    <row r="226" spans="17:17" x14ac:dyDescent="0.2">
      <c r="Q226" s="56"/>
    </row>
    <row r="227" spans="17:17" x14ac:dyDescent="0.2">
      <c r="Q227" s="56"/>
    </row>
    <row r="228" spans="17:17" x14ac:dyDescent="0.2">
      <c r="Q228" s="56"/>
    </row>
    <row r="229" spans="17:17" x14ac:dyDescent="0.2">
      <c r="Q229" s="56"/>
    </row>
    <row r="230" spans="17:17" x14ac:dyDescent="0.2">
      <c r="Q230" s="56"/>
    </row>
    <row r="231" spans="17:17" x14ac:dyDescent="0.2">
      <c r="Q231" s="56"/>
    </row>
    <row r="232" spans="17:17" x14ac:dyDescent="0.2">
      <c r="Q232" s="56"/>
    </row>
    <row r="233" spans="17:17" x14ac:dyDescent="0.2">
      <c r="Q233" s="56"/>
    </row>
    <row r="234" spans="17:17" x14ac:dyDescent="0.2">
      <c r="Q234" s="56"/>
    </row>
    <row r="235" spans="17:17" x14ac:dyDescent="0.2">
      <c r="Q235" s="56"/>
    </row>
    <row r="236" spans="17:17" x14ac:dyDescent="0.2">
      <c r="Q236" s="56"/>
    </row>
    <row r="237" spans="17:17" x14ac:dyDescent="0.2">
      <c r="Q237" s="56"/>
    </row>
    <row r="238" spans="17:17" x14ac:dyDescent="0.2">
      <c r="Q238" s="56"/>
    </row>
    <row r="239" spans="17:17" x14ac:dyDescent="0.2">
      <c r="Q239" s="56"/>
    </row>
    <row r="240" spans="17:17" x14ac:dyDescent="0.2">
      <c r="Q240" s="56"/>
    </row>
    <row r="241" spans="17:17" x14ac:dyDescent="0.2">
      <c r="Q241" s="56"/>
    </row>
    <row r="242" spans="17:17" x14ac:dyDescent="0.2">
      <c r="Q242" s="56"/>
    </row>
    <row r="243" spans="17:17" x14ac:dyDescent="0.2">
      <c r="Q243" s="56"/>
    </row>
    <row r="244" spans="17:17" x14ac:dyDescent="0.2">
      <c r="Q244" s="56"/>
    </row>
    <row r="245" spans="17:17" x14ac:dyDescent="0.2">
      <c r="Q245" s="56"/>
    </row>
    <row r="246" spans="17:17" x14ac:dyDescent="0.2">
      <c r="Q246" s="56"/>
    </row>
    <row r="247" spans="17:17" x14ac:dyDescent="0.2">
      <c r="Q247" s="56"/>
    </row>
    <row r="248" spans="17:17" x14ac:dyDescent="0.2">
      <c r="Q248" s="56"/>
    </row>
    <row r="249" spans="17:17" x14ac:dyDescent="0.2">
      <c r="Q249" s="56"/>
    </row>
    <row r="250" spans="17:17" x14ac:dyDescent="0.2">
      <c r="Q250" s="56"/>
    </row>
    <row r="251" spans="17:17" x14ac:dyDescent="0.2">
      <c r="Q251" s="56"/>
    </row>
    <row r="252" spans="17:17" x14ac:dyDescent="0.2">
      <c r="Q252" s="56"/>
    </row>
    <row r="253" spans="17:17" x14ac:dyDescent="0.2">
      <c r="Q253" s="56"/>
    </row>
    <row r="254" spans="17:17" x14ac:dyDescent="0.2">
      <c r="Q254" s="56"/>
    </row>
    <row r="255" spans="17:17" x14ac:dyDescent="0.2">
      <c r="Q255" s="56"/>
    </row>
    <row r="256" spans="17:17" x14ac:dyDescent="0.2">
      <c r="Q256" s="56"/>
    </row>
    <row r="257" spans="17:17" x14ac:dyDescent="0.2">
      <c r="Q257" s="56"/>
    </row>
    <row r="258" spans="17:17" x14ac:dyDescent="0.2">
      <c r="Q258" s="56"/>
    </row>
    <row r="259" spans="17:17" x14ac:dyDescent="0.2">
      <c r="Q259" s="56"/>
    </row>
    <row r="260" spans="17:17" x14ac:dyDescent="0.2">
      <c r="Q260" s="56"/>
    </row>
    <row r="261" spans="17:17" x14ac:dyDescent="0.2">
      <c r="Q261" s="56"/>
    </row>
    <row r="262" spans="17:17" x14ac:dyDescent="0.2">
      <c r="Q262" s="56"/>
    </row>
    <row r="263" spans="17:17" x14ac:dyDescent="0.2">
      <c r="Q263" s="56"/>
    </row>
    <row r="264" spans="17:17" x14ac:dyDescent="0.2">
      <c r="Q264" s="56"/>
    </row>
    <row r="265" spans="17:17" x14ac:dyDescent="0.2">
      <c r="Q265" s="56"/>
    </row>
    <row r="266" spans="17:17" x14ac:dyDescent="0.2">
      <c r="Q266" s="56"/>
    </row>
    <row r="267" spans="17:17" x14ac:dyDescent="0.2">
      <c r="Q267" s="56"/>
    </row>
    <row r="268" spans="17:17" x14ac:dyDescent="0.2">
      <c r="Q268" s="56"/>
    </row>
    <row r="269" spans="17:17" x14ac:dyDescent="0.2">
      <c r="Q269" s="56"/>
    </row>
    <row r="270" spans="17:17" x14ac:dyDescent="0.2">
      <c r="Q270" s="56"/>
    </row>
    <row r="271" spans="17:17" x14ac:dyDescent="0.2">
      <c r="Q271" s="56"/>
    </row>
    <row r="272" spans="17:17" x14ac:dyDescent="0.2">
      <c r="Q272" s="56"/>
    </row>
    <row r="273" spans="17:17" x14ac:dyDescent="0.2">
      <c r="Q273" s="56"/>
    </row>
    <row r="274" spans="17:17" x14ac:dyDescent="0.2">
      <c r="Q274" s="56"/>
    </row>
    <row r="275" spans="17:17" x14ac:dyDescent="0.2">
      <c r="Q275" s="56"/>
    </row>
    <row r="276" spans="17:17" x14ac:dyDescent="0.2">
      <c r="Q276" s="56"/>
    </row>
    <row r="277" spans="17:17" x14ac:dyDescent="0.2">
      <c r="Q277" s="56"/>
    </row>
    <row r="278" spans="17:17" x14ac:dyDescent="0.2">
      <c r="Q278" s="56"/>
    </row>
    <row r="279" spans="17:17" x14ac:dyDescent="0.2">
      <c r="Q279" s="56"/>
    </row>
    <row r="280" spans="17:17" x14ac:dyDescent="0.2">
      <c r="Q280" s="56"/>
    </row>
    <row r="281" spans="17:17" x14ac:dyDescent="0.2">
      <c r="Q281" s="56"/>
    </row>
    <row r="282" spans="17:17" x14ac:dyDescent="0.2">
      <c r="Q282" s="56"/>
    </row>
    <row r="283" spans="17:17" x14ac:dyDescent="0.2">
      <c r="Q283" s="56"/>
    </row>
    <row r="284" spans="17:17" x14ac:dyDescent="0.2">
      <c r="Q284" s="56"/>
    </row>
    <row r="285" spans="17:17" x14ac:dyDescent="0.2">
      <c r="Q285" s="56"/>
    </row>
    <row r="286" spans="17:17" x14ac:dyDescent="0.2">
      <c r="Q286" s="56"/>
    </row>
    <row r="287" spans="17:17" x14ac:dyDescent="0.2">
      <c r="Q287" s="56"/>
    </row>
    <row r="288" spans="17:17" x14ac:dyDescent="0.2">
      <c r="Q288" s="56"/>
    </row>
    <row r="289" spans="17:17" x14ac:dyDescent="0.2">
      <c r="Q289" s="56"/>
    </row>
    <row r="290" spans="17:17" x14ac:dyDescent="0.2">
      <c r="Q290" s="56"/>
    </row>
    <row r="291" spans="17:17" x14ac:dyDescent="0.2">
      <c r="Q291" s="56"/>
    </row>
    <row r="292" spans="17:17" x14ac:dyDescent="0.2">
      <c r="Q292" s="56"/>
    </row>
    <row r="293" spans="17:17" x14ac:dyDescent="0.2">
      <c r="Q293" s="56"/>
    </row>
    <row r="294" spans="17:17" x14ac:dyDescent="0.2">
      <c r="Q294" s="56"/>
    </row>
    <row r="295" spans="17:17" x14ac:dyDescent="0.2">
      <c r="Q295" s="56"/>
    </row>
    <row r="296" spans="17:17" x14ac:dyDescent="0.2">
      <c r="Q296" s="56"/>
    </row>
    <row r="297" spans="17:17" x14ac:dyDescent="0.2">
      <c r="Q297" s="56"/>
    </row>
    <row r="298" spans="17:17" x14ac:dyDescent="0.2">
      <c r="Q298" s="56"/>
    </row>
    <row r="299" spans="17:17" x14ac:dyDescent="0.2">
      <c r="Q299" s="56"/>
    </row>
    <row r="300" spans="17:17" x14ac:dyDescent="0.2">
      <c r="Q300" s="56"/>
    </row>
    <row r="301" spans="17:17" x14ac:dyDescent="0.2">
      <c r="Q301" s="56"/>
    </row>
    <row r="302" spans="17:17" x14ac:dyDescent="0.2">
      <c r="Q302" s="56"/>
    </row>
    <row r="303" spans="17:17" x14ac:dyDescent="0.2">
      <c r="Q303" s="56"/>
    </row>
    <row r="304" spans="17:17" x14ac:dyDescent="0.2">
      <c r="Q304" s="56"/>
    </row>
    <row r="305" spans="17:17" x14ac:dyDescent="0.2">
      <c r="Q305" s="56"/>
    </row>
    <row r="306" spans="17:17" x14ac:dyDescent="0.2">
      <c r="Q306" s="56"/>
    </row>
    <row r="307" spans="17:17" x14ac:dyDescent="0.2">
      <c r="Q307" s="56"/>
    </row>
    <row r="308" spans="17:17" x14ac:dyDescent="0.2">
      <c r="Q308" s="56"/>
    </row>
    <row r="309" spans="17:17" x14ac:dyDescent="0.2">
      <c r="Q309" s="56"/>
    </row>
    <row r="310" spans="17:17" x14ac:dyDescent="0.2">
      <c r="Q310" s="56"/>
    </row>
    <row r="311" spans="17:17" x14ac:dyDescent="0.2">
      <c r="Q311" s="56"/>
    </row>
    <row r="312" spans="17:17" x14ac:dyDescent="0.2">
      <c r="Q312" s="56"/>
    </row>
    <row r="313" spans="17:17" x14ac:dyDescent="0.2">
      <c r="Q313" s="56"/>
    </row>
    <row r="314" spans="17:17" x14ac:dyDescent="0.2">
      <c r="Q314" s="56"/>
    </row>
    <row r="315" spans="17:17" x14ac:dyDescent="0.2">
      <c r="Q315" s="56"/>
    </row>
    <row r="316" spans="17:17" x14ac:dyDescent="0.2">
      <c r="Q316" s="56"/>
    </row>
    <row r="317" spans="17:17" x14ac:dyDescent="0.2">
      <c r="Q317" s="56"/>
    </row>
    <row r="318" spans="17:17" x14ac:dyDescent="0.2">
      <c r="Q318" s="56"/>
    </row>
    <row r="319" spans="17:17" x14ac:dyDescent="0.2">
      <c r="Q319" s="56"/>
    </row>
    <row r="320" spans="17:17" x14ac:dyDescent="0.2">
      <c r="Q320" s="56"/>
    </row>
    <row r="321" spans="17:17" x14ac:dyDescent="0.2">
      <c r="Q321" s="56"/>
    </row>
    <row r="322" spans="17:17" x14ac:dyDescent="0.2">
      <c r="Q322" s="56"/>
    </row>
    <row r="323" spans="17:17" x14ac:dyDescent="0.2">
      <c r="Q323" s="56"/>
    </row>
    <row r="324" spans="17:17" x14ac:dyDescent="0.2">
      <c r="Q324" s="56"/>
    </row>
    <row r="325" spans="17:17" x14ac:dyDescent="0.2">
      <c r="Q325" s="56"/>
    </row>
    <row r="326" spans="17:17" x14ac:dyDescent="0.2">
      <c r="Q326" s="56"/>
    </row>
    <row r="327" spans="17:17" x14ac:dyDescent="0.2">
      <c r="Q327" s="56"/>
    </row>
    <row r="328" spans="17:17" x14ac:dyDescent="0.2">
      <c r="Q328" s="56"/>
    </row>
    <row r="329" spans="17:17" x14ac:dyDescent="0.2">
      <c r="Q329" s="56"/>
    </row>
    <row r="330" spans="17:17" x14ac:dyDescent="0.2">
      <c r="Q330" s="56"/>
    </row>
    <row r="331" spans="17:17" x14ac:dyDescent="0.2">
      <c r="Q331" s="56"/>
    </row>
    <row r="332" spans="17:17" x14ac:dyDescent="0.2">
      <c r="Q332" s="56"/>
    </row>
    <row r="333" spans="17:17" x14ac:dyDescent="0.2">
      <c r="Q333" s="56"/>
    </row>
    <row r="334" spans="17:17" x14ac:dyDescent="0.2">
      <c r="Q334" s="56"/>
    </row>
    <row r="335" spans="17:17" x14ac:dyDescent="0.2">
      <c r="Q335" s="56"/>
    </row>
    <row r="336" spans="17:17" x14ac:dyDescent="0.2">
      <c r="Q336" s="56"/>
    </row>
    <row r="337" spans="17:17" x14ac:dyDescent="0.2">
      <c r="Q337" s="56"/>
    </row>
    <row r="338" spans="17:17" x14ac:dyDescent="0.2">
      <c r="Q338" s="56"/>
    </row>
    <row r="339" spans="17:17" x14ac:dyDescent="0.2">
      <c r="Q339" s="56"/>
    </row>
    <row r="340" spans="17:17" x14ac:dyDescent="0.2">
      <c r="Q340" s="56"/>
    </row>
    <row r="341" spans="17:17" x14ac:dyDescent="0.2">
      <c r="Q341" s="56"/>
    </row>
    <row r="342" spans="17:17" x14ac:dyDescent="0.2">
      <c r="Q342" s="56"/>
    </row>
    <row r="343" spans="17:17" x14ac:dyDescent="0.2">
      <c r="Q343" s="56"/>
    </row>
    <row r="344" spans="17:17" x14ac:dyDescent="0.2">
      <c r="Q344" s="56"/>
    </row>
    <row r="345" spans="17:17" x14ac:dyDescent="0.2">
      <c r="Q345" s="56"/>
    </row>
    <row r="346" spans="17:17" x14ac:dyDescent="0.2">
      <c r="Q346" s="56"/>
    </row>
    <row r="347" spans="17:17" x14ac:dyDescent="0.2">
      <c r="Q347" s="56"/>
    </row>
    <row r="348" spans="17:17" x14ac:dyDescent="0.2">
      <c r="Q348" s="56"/>
    </row>
    <row r="349" spans="17:17" x14ac:dyDescent="0.2">
      <c r="Q349" s="56"/>
    </row>
    <row r="350" spans="17:17" x14ac:dyDescent="0.2">
      <c r="Q350" s="56"/>
    </row>
    <row r="351" spans="17:17" x14ac:dyDescent="0.2">
      <c r="Q351" s="56"/>
    </row>
  </sheetData>
  <sheetProtection formatCells="0" formatColumns="0" formatRows="0" insertColumns="0" insertRows="0" insertHyperlinks="0" deleteColumns="0" deleteRows="0" selectLockedCells="1" sort="0" autoFilter="0" pivotTables="0"/>
  <dataConsolidate/>
  <mergeCells count="9">
    <mergeCell ref="Q196:Q234"/>
    <mergeCell ref="Q235:Q273"/>
    <mergeCell ref="Q274:Q312"/>
    <mergeCell ref="Q313:Q351"/>
    <mergeCell ref="Q3:Q39"/>
    <mergeCell ref="Q40:Q78"/>
    <mergeCell ref="Q79:Q117"/>
    <mergeCell ref="Q118:Q156"/>
    <mergeCell ref="Q157:Q195"/>
  </mergeCells>
  <dataValidations count="5">
    <dataValidation type="whole" allowBlank="1" showInputMessage="1" showErrorMessage="1" sqref="H3:H1048576" xr:uid="{00000000-0002-0000-0200-000000000000}">
      <formula1>0</formula1>
      <formula2>100000</formula2>
    </dataValidation>
    <dataValidation type="decimal" allowBlank="1" showInputMessage="1" showErrorMessage="1" sqref="G3:G1048576" xr:uid="{00000000-0002-0000-0200-000001000000}">
      <formula1>0</formula1>
      <formula2>100</formula2>
    </dataValidation>
    <dataValidation type="whole" allowBlank="1" showInputMessage="1" showErrorMessage="1" sqref="J3:J1048576" xr:uid="{00000000-0002-0000-0200-000002000000}">
      <formula1>1</formula1>
      <formula2>365</formula2>
    </dataValidation>
    <dataValidation type="whole" allowBlank="1" showInputMessage="1" showErrorMessage="1" sqref="L3:L1048576" xr:uid="{00000000-0002-0000-0200-000003000000}">
      <formula1>1</formula1>
      <formula2>20</formula2>
    </dataValidation>
    <dataValidation type="whole" allowBlank="1" showInputMessage="1" showErrorMessage="1" sqref="N3:O1048576" xr:uid="{00000000-0002-0000-0200-000004000000}">
      <formula1>0</formula1>
      <formula2>12</formula2>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200-000005000000}">
          <x14:formula1>
            <xm:f>Legenda!$C$2:$C$3</xm:f>
          </x14:formula1>
          <xm:sqref>F3:F55</xm:sqref>
        </x14:dataValidation>
        <x14:dataValidation type="list" allowBlank="1" showInputMessage="1" showErrorMessage="1" xr:uid="{00000000-0002-0000-0200-000007000000}">
          <x14:formula1>
            <xm:f>Legenda!$E$2:$E$3</xm:f>
          </x14:formula1>
          <xm:sqref>K3:K341</xm:sqref>
        </x14:dataValidation>
        <x14:dataValidation type="list" allowBlank="1" showInputMessage="1" showErrorMessage="1" xr:uid="{00000000-0002-0000-0200-000008000000}">
          <x14:formula1>
            <xm:f>Legenda!$F$2:$F$7</xm:f>
          </x14:formula1>
          <xm:sqref>C3:C154</xm:sqref>
        </x14:dataValidation>
        <x14:dataValidation type="list" allowBlank="1" showInputMessage="1" showErrorMessage="1" xr:uid="{00000000-0002-0000-0200-000009000000}">
          <x14:formula1>
            <xm:f>Legenda!$G$2:$G$6</xm:f>
          </x14:formula1>
          <xm:sqref>D3:D1048576</xm:sqref>
        </x14:dataValidation>
        <x14:dataValidation type="list" allowBlank="1" showInputMessage="1" showErrorMessage="1" xr:uid="{00000000-0002-0000-0200-00000A000000}">
          <x14:formula1>
            <xm:f>Legenda!$B$3:$B$24</xm:f>
          </x14:formula1>
          <xm:sqref>E3:E25</xm:sqref>
        </x14:dataValidation>
        <x14:dataValidation type="list" allowBlank="1" showInputMessage="1" showErrorMessage="1" xr:uid="{00000000-0002-0000-0200-00000B000000}">
          <x14:formula1>
            <xm:f>Legenda!$H$2:$H$5</xm:f>
          </x14:formula1>
          <xm:sqref>M3:M1048576</xm:sqref>
        </x14:dataValidation>
        <x14:dataValidation type="list" allowBlank="1" showInputMessage="1" showErrorMessage="1" xr:uid="{00000000-0002-0000-0200-00000C000000}">
          <x14:formula1>
            <xm:f>Legenda!$A$2:$A$8</xm:f>
          </x14:formula1>
          <xm:sqref>B3:B1048576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E8"/>
  <sheetViews>
    <sheetView workbookViewId="0">
      <selection activeCell="A8" sqref="A8"/>
    </sheetView>
  </sheetViews>
  <sheetFormatPr defaultRowHeight="12.75" x14ac:dyDescent="0.2"/>
  <cols>
    <col min="1" max="1" width="23.28515625" customWidth="1"/>
    <col min="2" max="2" width="21" customWidth="1"/>
    <col min="3" max="3" width="21.42578125" customWidth="1"/>
    <col min="4" max="4" width="22.140625" customWidth="1"/>
    <col min="5" max="5" width="24.28515625" customWidth="1"/>
  </cols>
  <sheetData>
    <row r="1" spans="1:5" ht="27.95" customHeight="1" x14ac:dyDescent="0.2">
      <c r="A1" s="32" t="s">
        <v>69</v>
      </c>
      <c r="B1" s="31" t="s">
        <v>70</v>
      </c>
      <c r="C1" s="31" t="s">
        <v>71</v>
      </c>
      <c r="D1" s="31" t="s">
        <v>72</v>
      </c>
      <c r="E1" s="30" t="s">
        <v>73</v>
      </c>
    </row>
    <row r="2" spans="1:5" ht="27.6" customHeight="1" x14ac:dyDescent="0.2">
      <c r="A2" s="29" t="s">
        <v>74</v>
      </c>
      <c r="B2" s="28" t="s">
        <v>75</v>
      </c>
      <c r="C2" s="28" t="s">
        <v>76</v>
      </c>
      <c r="D2" s="28" t="s">
        <v>77</v>
      </c>
      <c r="E2" s="27" t="s">
        <v>78</v>
      </c>
    </row>
    <row r="3" spans="1:5" ht="25.5" customHeight="1" x14ac:dyDescent="0.2">
      <c r="A3" s="26" t="s">
        <v>79</v>
      </c>
      <c r="B3" s="25" t="s">
        <v>80</v>
      </c>
      <c r="C3" s="25" t="s">
        <v>76</v>
      </c>
      <c r="D3" s="25" t="s">
        <v>81</v>
      </c>
      <c r="E3" s="24" t="s">
        <v>82</v>
      </c>
    </row>
    <row r="4" spans="1:5" ht="27.6" customHeight="1" x14ac:dyDescent="0.2">
      <c r="A4" s="29" t="s">
        <v>83</v>
      </c>
      <c r="B4" s="28" t="s">
        <v>80</v>
      </c>
      <c r="C4" s="28" t="s">
        <v>76</v>
      </c>
      <c r="D4" s="28" t="s">
        <v>84</v>
      </c>
      <c r="E4" s="27" t="s">
        <v>85</v>
      </c>
    </row>
    <row r="5" spans="1:5" ht="25.5" customHeight="1" x14ac:dyDescent="0.2">
      <c r="A5" s="26" t="s">
        <v>86</v>
      </c>
      <c r="B5" s="25" t="s">
        <v>87</v>
      </c>
      <c r="C5" s="25" t="s">
        <v>76</v>
      </c>
      <c r="D5" s="25" t="s">
        <v>88</v>
      </c>
      <c r="E5" s="24" t="s">
        <v>89</v>
      </c>
    </row>
    <row r="6" spans="1:5" ht="25.5" customHeight="1" x14ac:dyDescent="0.2">
      <c r="A6" s="29" t="s">
        <v>90</v>
      </c>
      <c r="B6" s="28" t="s">
        <v>91</v>
      </c>
      <c r="C6" s="28" t="s">
        <v>92</v>
      </c>
      <c r="D6" s="28" t="s">
        <v>93</v>
      </c>
      <c r="E6" s="27" t="s">
        <v>94</v>
      </c>
    </row>
    <row r="7" spans="1:5" ht="26.1" customHeight="1" x14ac:dyDescent="0.2">
      <c r="A7" s="26" t="s">
        <v>95</v>
      </c>
      <c r="B7" s="25" t="s">
        <v>96</v>
      </c>
      <c r="C7" s="25" t="s">
        <v>92</v>
      </c>
      <c r="D7" s="25" t="s">
        <v>97</v>
      </c>
      <c r="E7" s="24" t="s">
        <v>98</v>
      </c>
    </row>
    <row r="8" spans="1:5" ht="25.5" customHeight="1" x14ac:dyDescent="0.2">
      <c r="A8" s="23" t="s">
        <v>65</v>
      </c>
      <c r="B8" s="22" t="s">
        <v>99</v>
      </c>
      <c r="C8" s="22" t="s">
        <v>100</v>
      </c>
      <c r="D8" s="22" t="s">
        <v>101</v>
      </c>
      <c r="E8" s="21" t="s">
        <v>102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24"/>
  <sheetViews>
    <sheetView workbookViewId="0">
      <selection activeCell="E16" sqref="E16"/>
    </sheetView>
  </sheetViews>
  <sheetFormatPr defaultRowHeight="12.75" x14ac:dyDescent="0.2"/>
  <cols>
    <col min="1" max="1" width="20.140625" customWidth="1"/>
    <col min="2" max="2" width="17.7109375" customWidth="1"/>
    <col min="4" max="4" width="20.85546875" customWidth="1"/>
    <col min="5" max="5" width="23.85546875" customWidth="1"/>
    <col min="6" max="6" width="13.28515625" customWidth="1"/>
    <col min="8" max="8" width="48.140625" customWidth="1"/>
  </cols>
  <sheetData>
    <row r="1" spans="1:9" x14ac:dyDescent="0.2">
      <c r="A1" s="3" t="s">
        <v>103</v>
      </c>
      <c r="B1" s="3" t="s">
        <v>104</v>
      </c>
      <c r="C1" s="3" t="s">
        <v>51</v>
      </c>
      <c r="D1" s="3" t="s">
        <v>105</v>
      </c>
      <c r="E1" s="3" t="s">
        <v>106</v>
      </c>
      <c r="F1" s="3" t="s">
        <v>107</v>
      </c>
      <c r="G1" s="3" t="s">
        <v>108</v>
      </c>
      <c r="H1" s="10" t="s">
        <v>109</v>
      </c>
      <c r="I1" s="6"/>
    </row>
    <row r="2" spans="1:9" x14ac:dyDescent="0.2">
      <c r="A2" t="s">
        <v>110</v>
      </c>
      <c r="B2">
        <v>2022</v>
      </c>
      <c r="C2" s="1" t="s">
        <v>111</v>
      </c>
      <c r="D2" s="1" t="s">
        <v>112</v>
      </c>
      <c r="E2" s="1" t="s">
        <v>111</v>
      </c>
      <c r="F2" s="1" t="s">
        <v>66</v>
      </c>
      <c r="G2">
        <v>3</v>
      </c>
      <c r="H2" s="7" t="s">
        <v>113</v>
      </c>
      <c r="I2" s="8"/>
    </row>
    <row r="3" spans="1:9" x14ac:dyDescent="0.2">
      <c r="A3" t="s">
        <v>114</v>
      </c>
      <c r="B3">
        <v>2021</v>
      </c>
      <c r="C3" s="1" t="s">
        <v>67</v>
      </c>
      <c r="D3" s="1" t="s">
        <v>115</v>
      </c>
      <c r="E3" s="1" t="s">
        <v>67</v>
      </c>
      <c r="F3" s="1" t="s">
        <v>116</v>
      </c>
      <c r="G3">
        <v>4</v>
      </c>
      <c r="H3" s="9" t="s">
        <v>117</v>
      </c>
      <c r="I3" s="8"/>
    </row>
    <row r="4" spans="1:9" x14ac:dyDescent="0.2">
      <c r="A4" t="s">
        <v>118</v>
      </c>
      <c r="B4">
        <v>2020</v>
      </c>
      <c r="F4" s="1" t="s">
        <v>119</v>
      </c>
      <c r="G4">
        <v>5</v>
      </c>
      <c r="H4" s="8" t="s">
        <v>68</v>
      </c>
    </row>
    <row r="5" spans="1:9" x14ac:dyDescent="0.2">
      <c r="A5" t="s">
        <v>120</v>
      </c>
      <c r="B5">
        <v>2019</v>
      </c>
      <c r="F5" s="1" t="s">
        <v>121</v>
      </c>
      <c r="G5">
        <v>6</v>
      </c>
      <c r="H5" s="8" t="s">
        <v>122</v>
      </c>
    </row>
    <row r="6" spans="1:9" x14ac:dyDescent="0.2">
      <c r="A6" t="s">
        <v>123</v>
      </c>
      <c r="B6">
        <v>2018</v>
      </c>
      <c r="F6" s="1" t="s">
        <v>124</v>
      </c>
      <c r="G6">
        <v>7</v>
      </c>
    </row>
    <row r="7" spans="1:9" x14ac:dyDescent="0.2">
      <c r="A7" t="s">
        <v>125</v>
      </c>
      <c r="B7">
        <v>2017</v>
      </c>
      <c r="F7" s="1" t="s">
        <v>126</v>
      </c>
    </row>
    <row r="8" spans="1:9" x14ac:dyDescent="0.2">
      <c r="A8" t="s">
        <v>127</v>
      </c>
      <c r="B8">
        <v>2016</v>
      </c>
    </row>
    <row r="9" spans="1:9" x14ac:dyDescent="0.2">
      <c r="B9">
        <v>2015</v>
      </c>
    </row>
    <row r="10" spans="1:9" x14ac:dyDescent="0.2">
      <c r="B10">
        <v>2014</v>
      </c>
    </row>
    <row r="11" spans="1:9" x14ac:dyDescent="0.2">
      <c r="B11">
        <v>2013</v>
      </c>
    </row>
    <row r="12" spans="1:9" ht="14.25" x14ac:dyDescent="0.2">
      <c r="A12" s="2"/>
      <c r="B12">
        <v>2012</v>
      </c>
    </row>
    <row r="13" spans="1:9" x14ac:dyDescent="0.2">
      <c r="B13">
        <v>2011</v>
      </c>
    </row>
    <row r="14" spans="1:9" x14ac:dyDescent="0.2">
      <c r="B14">
        <v>2010</v>
      </c>
    </row>
    <row r="15" spans="1:9" x14ac:dyDescent="0.2">
      <c r="B15">
        <v>2009</v>
      </c>
    </row>
    <row r="16" spans="1:9" x14ac:dyDescent="0.2">
      <c r="B16">
        <v>2008</v>
      </c>
    </row>
    <row r="17" spans="2:2" x14ac:dyDescent="0.2">
      <c r="B17">
        <v>2007</v>
      </c>
    </row>
    <row r="18" spans="2:2" x14ac:dyDescent="0.2">
      <c r="B18">
        <v>2006</v>
      </c>
    </row>
    <row r="19" spans="2:2" x14ac:dyDescent="0.2">
      <c r="B19">
        <v>2005</v>
      </c>
    </row>
    <row r="20" spans="2:2" x14ac:dyDescent="0.2">
      <c r="B20">
        <v>2004</v>
      </c>
    </row>
    <row r="21" spans="2:2" x14ac:dyDescent="0.2">
      <c r="B21">
        <v>2003</v>
      </c>
    </row>
    <row r="22" spans="2:2" x14ac:dyDescent="0.2">
      <c r="B22">
        <v>2002</v>
      </c>
    </row>
    <row r="23" spans="2:2" x14ac:dyDescent="0.2">
      <c r="B23">
        <v>2001</v>
      </c>
    </row>
    <row r="24" spans="2:2" x14ac:dyDescent="0.2">
      <c r="B24">
        <v>2000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38E04DCFC4BF384D9E961B97C3517C30" ma:contentTypeVersion="14" ma:contentTypeDescription="Een nieuw document maken." ma:contentTypeScope="" ma:versionID="3e9973c8acab42e8d9ea7e57e3775309">
  <xsd:schema xmlns:xsd="http://www.w3.org/2001/XMLSchema" xmlns:xs="http://www.w3.org/2001/XMLSchema" xmlns:p="http://schemas.microsoft.com/office/2006/metadata/properties" xmlns:ns2="ebae210a-e6c7-4f9c-9760-3de03e91185d" xmlns:ns3="ca14c946-93d2-4c79-8579-8dda09b5660a" targetNamespace="http://schemas.microsoft.com/office/2006/metadata/properties" ma:root="true" ma:fieldsID="3bff4123c1f316901f2e17aef63ad085" ns2:_="" ns3:_="">
    <xsd:import namespace="ebae210a-e6c7-4f9c-9760-3de03e91185d"/>
    <xsd:import namespace="ca14c946-93d2-4c79-8579-8dda09b5660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LengthInSeconds"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bae210a-e6c7-4f9c-9760-3de03e91185d" elementFormDefault="qualified">
    <xsd:import namespace="http://schemas.microsoft.com/office/2006/documentManagement/types"/>
    <xsd:import namespace="http://schemas.microsoft.com/office/infopath/2007/PartnerControls"/>
    <xsd:element name="SharedWithUsers" ma:index="8"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Gedeeld met details" ma:internalName="SharedWithDetails" ma:readOnly="true">
      <xsd:simpleType>
        <xsd:restriction base="dms:Note">
          <xsd:maxLength value="255"/>
        </xsd:restriction>
      </xsd:simpleType>
    </xsd:element>
    <xsd:element name="TaxCatchAll" ma:index="21" nillable="true" ma:displayName="Taxonomy Catch All Column" ma:hidden="true" ma:list="{68fd7ab1-4daa-4a1b-85e0-206342400fcb}" ma:internalName="TaxCatchAll" ma:showField="CatchAllData" ma:web="ebae210a-e6c7-4f9c-9760-3de03e91185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ca14c946-93d2-4c79-8579-8dda09b5660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Afbeeldingtags" ma:readOnly="false" ma:fieldId="{5cf76f15-5ced-4ddc-b409-7134ff3c332f}" ma:taxonomyMulti="true" ma:sspId="ee456787-1397-4d99-8959-e146a1a74cb8"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ebae210a-e6c7-4f9c-9760-3de03e91185d" xsi:nil="true"/>
    <lcf76f155ced4ddcb4097134ff3c332f xmlns="ca14c946-93d2-4c79-8579-8dda09b5660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9F99F03-C871-47B5-A156-8F38FB4D6208}">
  <ds:schemaRefs>
    <ds:schemaRef ds:uri="http://schemas.microsoft.com/sharepoint/v3/contenttype/forms"/>
  </ds:schemaRefs>
</ds:datastoreItem>
</file>

<file path=customXml/itemProps2.xml><?xml version="1.0" encoding="utf-8"?>
<ds:datastoreItem xmlns:ds="http://schemas.openxmlformats.org/officeDocument/2006/customXml" ds:itemID="{F4F097EA-3328-4F70-81B4-92671C81289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bae210a-e6c7-4f9c-9760-3de03e91185d"/>
    <ds:schemaRef ds:uri="ca14c946-93d2-4c79-8579-8dda09b5660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5572AB8-F995-44C1-8948-A7EE0B0A83D7}">
  <ds:schemaRefs>
    <ds:schemaRef ds:uri="http://schemas.microsoft.com/office/2006/metadata/properties"/>
    <ds:schemaRef ds:uri="http://schemas.microsoft.com/office/infopath/2007/PartnerControls"/>
    <ds:schemaRef ds:uri="ebae210a-e6c7-4f9c-9760-3de03e91185d"/>
    <ds:schemaRef ds:uri="ca14c946-93d2-4c79-8579-8dda09b5660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Uitleg ZET kompas</vt:lpstr>
      <vt:lpstr>Algemene vragen</vt:lpstr>
      <vt:lpstr>Input</vt:lpstr>
      <vt:lpstr>Uitleg voertuigtypes</vt:lpstr>
      <vt:lpstr>Legenda</vt:lpstr>
    </vt:vector>
  </TitlesOfParts>
  <Manager/>
  <Company>HZ University of Applied Sciences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C.M.L. Degroote</dc:creator>
  <cp:keywords/>
  <dc:description/>
  <cp:lastModifiedBy>J.M. van der Meer</cp:lastModifiedBy>
  <cp:revision/>
  <dcterms:created xsi:type="dcterms:W3CDTF">2021-01-28T21:31:58Z</dcterms:created>
  <dcterms:modified xsi:type="dcterms:W3CDTF">2023-07-10T15:06:00Z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0x01010038E04DCFC4BF384D9E961B97C3517C30</vt:lpwstr>
  </property>
  <property fmtid="{D5CDD505-2E9C-101B-9397-08002B2CF9AE}" pid="3" name="MediaServiceImageTags">
    <vt:lpwstr/>
  </property>
</Properties>
</file>